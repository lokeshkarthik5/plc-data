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4_TANK_LEVEL_INDICATION\"/>
    </mc:Choice>
  </mc:AlternateContent>
  <xr:revisionPtr revIDLastSave="0" documentId="13_ncr:1_{A0F68C1D-9787-40FE-8BF5-5CCC63A3211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ank Calculator" sheetId="1" r:id="rId1"/>
    <sheet name="Sounding Table" sheetId="2" r:id="rId2"/>
    <sheet name="Sounding Table (2)" sheetId="3" state="hidden" r:id="rId3"/>
    <sheet name="Sounding Table_Calibrat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4" l="1"/>
  <c r="M5" i="4"/>
  <c r="D5" i="4" s="1"/>
  <c r="F5" i="4" s="1"/>
  <c r="M6" i="4"/>
  <c r="D6" i="4" s="1"/>
  <c r="F6" i="4" s="1"/>
  <c r="M7" i="4"/>
  <c r="D7" i="4" s="1"/>
  <c r="M8" i="4"/>
  <c r="D8" i="4" s="1"/>
  <c r="F8" i="4" s="1"/>
  <c r="M9" i="4"/>
  <c r="D9" i="4" s="1"/>
  <c r="M10" i="4"/>
  <c r="D10" i="4" s="1"/>
  <c r="M11" i="4"/>
  <c r="D11" i="4" s="1"/>
  <c r="M12" i="4"/>
  <c r="D12" i="4" s="1"/>
  <c r="M13" i="4"/>
  <c r="D13" i="4" s="1"/>
  <c r="M14" i="4"/>
  <c r="D14" i="4" s="1"/>
  <c r="M15" i="4"/>
  <c r="D15" i="4" s="1"/>
  <c r="M16" i="4"/>
  <c r="D16" i="4" s="1"/>
  <c r="M17" i="4"/>
  <c r="D17" i="4" s="1"/>
  <c r="M18" i="4"/>
  <c r="D18" i="4" s="1"/>
  <c r="M19" i="4"/>
  <c r="D19" i="4" s="1"/>
  <c r="M20" i="4"/>
  <c r="D20" i="4" s="1"/>
  <c r="M21" i="4"/>
  <c r="D21" i="4" s="1"/>
  <c r="M22" i="4"/>
  <c r="D22" i="4" s="1"/>
  <c r="M23" i="4"/>
  <c r="D23" i="4" s="1"/>
  <c r="M24" i="4"/>
  <c r="D24" i="4" s="1"/>
  <c r="F24" i="4" s="1"/>
  <c r="M4" i="4"/>
  <c r="F4" i="4" s="1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I11" i="4"/>
  <c r="AI10" i="4"/>
  <c r="AI9" i="4"/>
  <c r="AI8" i="4"/>
  <c r="AI7" i="4"/>
  <c r="AI6" i="4"/>
  <c r="AI5" i="4"/>
  <c r="AI4" i="4"/>
  <c r="F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D22" i="3" s="1"/>
  <c r="M2" i="3"/>
  <c r="D2" i="3" s="1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" i="3"/>
  <c r="G4" i="1"/>
  <c r="G26" i="1"/>
  <c r="G27" i="1"/>
  <c r="G28" i="1"/>
  <c r="G29" i="1"/>
  <c r="G30" i="1"/>
  <c r="G31" i="1"/>
  <c r="G32" i="1"/>
  <c r="G33" i="1"/>
  <c r="G34" i="1"/>
  <c r="G35" i="1"/>
  <c r="G3" i="1"/>
  <c r="H3" i="1" s="1" a="1"/>
  <c r="I3" i="1" s="1"/>
  <c r="F7" i="4" l="1"/>
  <c r="F10" i="4"/>
  <c r="F12" i="4"/>
  <c r="F14" i="4"/>
  <c r="F16" i="4"/>
  <c r="F18" i="4"/>
  <c r="F20" i="4"/>
  <c r="F21" i="4"/>
  <c r="F23" i="4"/>
  <c r="F9" i="4"/>
  <c r="F11" i="4"/>
  <c r="F13" i="4"/>
  <c r="F15" i="4"/>
  <c r="F17" i="4"/>
  <c r="F19" i="4"/>
  <c r="F22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3" i="3"/>
  <c r="H30" i="1"/>
  <c r="L28" i="1"/>
  <c r="H31" i="1"/>
  <c r="L31" i="1"/>
  <c r="H26" i="1"/>
  <c r="L26" i="1"/>
  <c r="H28" i="1"/>
  <c r="L32" i="1"/>
  <c r="H27" i="1"/>
  <c r="L33" i="1"/>
  <c r="H29" i="1"/>
  <c r="H32" i="1"/>
  <c r="K3" i="1"/>
  <c r="L27" i="1"/>
  <c r="L29" i="1"/>
  <c r="H34" i="1"/>
  <c r="I34" i="1" s="1"/>
  <c r="L34" i="1"/>
  <c r="H35" i="1"/>
  <c r="I35" i="1" s="1"/>
  <c r="L30" i="1"/>
  <c r="H33" i="1"/>
  <c r="I33" i="1" s="1"/>
  <c r="L35" i="1"/>
  <c r="J3" i="1"/>
  <c r="I30" i="1" l="1"/>
  <c r="J30" i="1" s="1"/>
  <c r="I31" i="1"/>
  <c r="J31" i="1" s="1"/>
  <c r="I26" i="1"/>
  <c r="I28" i="1"/>
  <c r="I27" i="1"/>
  <c r="I29" i="1"/>
  <c r="I32" i="1"/>
  <c r="K28" i="1"/>
  <c r="J28" i="1"/>
  <c r="K34" i="1"/>
  <c r="J34" i="1"/>
  <c r="K35" i="1"/>
  <c r="J35" i="1"/>
  <c r="J33" i="1"/>
  <c r="K33" i="1"/>
  <c r="G16" i="1"/>
  <c r="G17" i="1"/>
  <c r="G18" i="1"/>
  <c r="G19" i="1"/>
  <c r="G20" i="1"/>
  <c r="G21" i="1"/>
  <c r="G22" i="1"/>
  <c r="G23" i="1"/>
  <c r="H23" i="1" s="1" a="1"/>
  <c r="I23" i="1" s="1"/>
  <c r="G24" i="1"/>
  <c r="G25" i="1"/>
  <c r="H25" i="1" s="1"/>
  <c r="I25" i="1" s="1"/>
  <c r="K30" i="1" l="1"/>
  <c r="K27" i="1"/>
  <c r="J27" i="1"/>
  <c r="J26" i="1"/>
  <c r="K26" i="1"/>
  <c r="K31" i="1"/>
  <c r="K32" i="1"/>
  <c r="J32" i="1"/>
  <c r="K29" i="1"/>
  <c r="J29" i="1"/>
  <c r="H20" i="1" a="1"/>
  <c r="I20" i="1" s="1"/>
  <c r="L19" i="1"/>
  <c r="H19" i="1" a="1"/>
  <c r="I19" i="1" s="1"/>
  <c r="J19" i="1" s="1"/>
  <c r="L18" i="1"/>
  <c r="H18" i="1" a="1"/>
  <c r="I18" i="1" s="1"/>
  <c r="H17" i="1" a="1"/>
  <c r="I17" i="1" s="1"/>
  <c r="L22" i="1"/>
  <c r="H22" i="1" a="1"/>
  <c r="I22" i="1" s="1"/>
  <c r="J22" i="1" s="1"/>
  <c r="L21" i="1"/>
  <c r="H21" i="1" a="1"/>
  <c r="I21" i="1" s="1"/>
  <c r="J21" i="1" s="1"/>
  <c r="H24" i="1" a="1"/>
  <c r="I24" i="1" s="1"/>
  <c r="L23" i="1"/>
  <c r="H16" i="1" a="1"/>
  <c r="I16" i="1" s="1"/>
  <c r="J16" i="1" s="1"/>
  <c r="L17" i="1"/>
  <c r="L20" i="1"/>
  <c r="L16" i="1"/>
  <c r="L25" i="1"/>
  <c r="L24" i="1"/>
  <c r="J25" i="1"/>
  <c r="K25" i="1"/>
  <c r="K23" i="1"/>
  <c r="J23" i="1"/>
  <c r="G5" i="1"/>
  <c r="G6" i="1"/>
  <c r="G7" i="1"/>
  <c r="G8" i="1"/>
  <c r="G9" i="1"/>
  <c r="G10" i="1"/>
  <c r="G11" i="1"/>
  <c r="G12" i="1"/>
  <c r="G13" i="1"/>
  <c r="G14" i="1"/>
  <c r="G15" i="1"/>
  <c r="J17" i="1" l="1"/>
  <c r="K17" i="1"/>
  <c r="K18" i="1"/>
  <c r="J18" i="1"/>
  <c r="J24" i="1"/>
  <c r="K24" i="1"/>
  <c r="J20" i="1"/>
  <c r="K20" i="1"/>
  <c r="K16" i="1"/>
  <c r="L15" i="1"/>
  <c r="H15" i="1" a="1"/>
  <c r="L7" i="1"/>
  <c r="H7" i="1" a="1"/>
  <c r="L14" i="1"/>
  <c r="H14" i="1" a="1"/>
  <c r="I14" i="1" s="1"/>
  <c r="K14" i="1" s="1"/>
  <c r="L6" i="1"/>
  <c r="H6" i="1" a="1"/>
  <c r="H8" i="1" a="1"/>
  <c r="I8" i="1" s="1"/>
  <c r="H13" i="1" a="1"/>
  <c r="I13" i="1" s="1"/>
  <c r="H4" i="1" a="1"/>
  <c r="I4" i="1" s="1"/>
  <c r="H10" i="1" a="1"/>
  <c r="I10" i="1" s="1"/>
  <c r="L9" i="1"/>
  <c r="H9" i="1" a="1"/>
  <c r="I9" i="1" s="1"/>
  <c r="K9" i="1" s="1"/>
  <c r="H12" i="1" a="1"/>
  <c r="I12" i="1" s="1"/>
  <c r="H5" i="1" a="1"/>
  <c r="I5" i="1" s="1"/>
  <c r="H11" i="1" a="1"/>
  <c r="I11" i="1" s="1"/>
  <c r="K21" i="1"/>
  <c r="K19" i="1"/>
  <c r="K22" i="1"/>
  <c r="L10" i="1"/>
  <c r="L8" i="1"/>
  <c r="L13" i="1"/>
  <c r="L12" i="1"/>
  <c r="L5" i="1"/>
  <c r="L11" i="1"/>
  <c r="L4" i="1"/>
  <c r="I15" i="1" l="1"/>
  <c r="J15" i="1" s="1"/>
  <c r="I7" i="1"/>
  <c r="J7" i="1" s="1"/>
  <c r="I6" i="1"/>
  <c r="K6" i="1" s="1"/>
  <c r="J5" i="1"/>
  <c r="K5" i="1"/>
  <c r="K12" i="1"/>
  <c r="J12" i="1"/>
  <c r="J10" i="1"/>
  <c r="K10" i="1"/>
  <c r="K11" i="1"/>
  <c r="J11" i="1"/>
  <c r="J13" i="1"/>
  <c r="K13" i="1"/>
  <c r="J8" i="1"/>
  <c r="K8" i="1"/>
  <c r="J4" i="1"/>
  <c r="K4" i="1"/>
  <c r="J9" i="1"/>
  <c r="J14" i="1"/>
  <c r="K15" i="1" l="1"/>
  <c r="K7" i="1"/>
  <c r="J6" i="1"/>
  <c r="L3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<sst xmlns="http://schemas.openxmlformats.org/spreadsheetml/2006/main" count="96" uniqueCount="71">
  <si>
    <t>Analog_mA</t>
  </si>
  <si>
    <t>Sensor_Min_bar</t>
  </si>
  <si>
    <t>Sensor_Max_bar</t>
  </si>
  <si>
    <t>Density</t>
  </si>
  <si>
    <t>Dead_Volume</t>
  </si>
  <si>
    <t>Tank_Height</t>
  </si>
  <si>
    <t>Level_m</t>
  </si>
  <si>
    <t>Interp_Volume_m3</t>
  </si>
  <si>
    <t>Final_Volume_m3</t>
  </si>
  <si>
    <t>Litres</t>
  </si>
  <si>
    <t>Tonnage</t>
  </si>
  <si>
    <t>Level_%</t>
  </si>
  <si>
    <t>Volume_m3</t>
  </si>
  <si>
    <t>Sensor output</t>
  </si>
  <si>
    <t>(mA)</t>
  </si>
  <si>
    <t>(T)</t>
  </si>
  <si>
    <t>Percentage</t>
  </si>
  <si>
    <t>(%)</t>
  </si>
  <si>
    <t>data from Wehark</t>
  </si>
  <si>
    <t>Inputs</t>
  </si>
  <si>
    <t>Calculated / Derived from Sounding Table</t>
  </si>
  <si>
    <t>Tonnage(t)</t>
  </si>
  <si>
    <t>Height</t>
  </si>
  <si>
    <t>(m)</t>
  </si>
  <si>
    <t>Volume</t>
  </si>
  <si>
    <t>(m3)</t>
  </si>
  <si>
    <t>Liters</t>
  </si>
  <si>
    <t>(L)</t>
  </si>
  <si>
    <t>Weight</t>
  </si>
  <si>
    <t>DIRTY OIL TANK</t>
  </si>
  <si>
    <t>FO RU TANK 1</t>
  </si>
  <si>
    <t>FO RU TANK 2</t>
  </si>
  <si>
    <t>FO RU TANK 3</t>
  </si>
  <si>
    <t>FO RU TANK 4</t>
  </si>
  <si>
    <t>FRESH WATER TANK</t>
  </si>
  <si>
    <t>FUEL OIL TANK 1</t>
  </si>
  <si>
    <t>FUEL OIL TANK 2</t>
  </si>
  <si>
    <t>FUEL OIL TANK 3</t>
  </si>
  <si>
    <t>GREY WATER TANK</t>
  </si>
  <si>
    <t>LO_TANK</t>
  </si>
  <si>
    <t>BILGE OIL TANK</t>
  </si>
  <si>
    <t>DENSITY</t>
  </si>
  <si>
    <t>TANKS</t>
  </si>
  <si>
    <t>Max_bar</t>
  </si>
  <si>
    <t>Min_bar</t>
  </si>
  <si>
    <t>Correction_factor</t>
  </si>
  <si>
    <t>Revised Value</t>
  </si>
  <si>
    <t>V=V1+((L−L1)/(L2−L1))*(V2−V1)</t>
  </si>
  <si>
    <t>Linear Interpolution=CorrectedV1 + ((Level - Level1) / (Level2 - Level1)) * (CorrectedV2 - CorrectedV1)</t>
  </si>
  <si>
    <t>1. Look up the correction factor’s  volume  and add it .</t>
  </si>
  <si>
    <t>2.Perform linear calculation using the corrected volume and level, applying upto the next correction factor.</t>
  </si>
  <si>
    <t>Entered_Correction_factor</t>
  </si>
  <si>
    <t>Calculated Interpolution values</t>
  </si>
  <si>
    <t>Note: Calculation was done for first two correction factors</t>
  </si>
  <si>
    <t>Steps:</t>
  </si>
  <si>
    <t>Formula:</t>
  </si>
  <si>
    <t>Legends:</t>
  </si>
  <si>
    <t>Calculated Correction_factors</t>
  </si>
  <si>
    <t>Entered_Correction_factors</t>
  </si>
  <si>
    <t xml:space="preserve">used for Linear Interpolution calculation </t>
  </si>
  <si>
    <t>SoundingTable Base</t>
  </si>
  <si>
    <t>Sounding Table - Calibration Points</t>
  </si>
  <si>
    <t>Calibration Points - Linearisation</t>
  </si>
  <si>
    <t>Corrected_Volume_m3</t>
  </si>
  <si>
    <t>Revised Value = Volume_m3 + Correction_factor</t>
  </si>
  <si>
    <t>InterPoluted_Volume_m3</t>
  </si>
  <si>
    <t>CorrectedV1- Calibrated first volume range(I-coloumn)</t>
  </si>
  <si>
    <t>CorrectedV2- Calibrated next volume range(I-coloumn)</t>
  </si>
  <si>
    <t>Level-current level(L-coloumn)</t>
  </si>
  <si>
    <t>Level1-frist range in H coloumn</t>
  </si>
  <si>
    <t>Level2-Next range in H coloumn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</si>
</sst>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3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2" fillId="0" borderId="4" xfId="0" applyFont="1" applyBorder="1"/>
    <xf numFmtId="0" fontId="0" fillId="0" borderId="5" xfId="0" applyBorder="1"/>
    <xf numFmtId="0" fontId="2" fillId="0" borderId="4" xfId="0" applyFont="1" applyBorder="1" applyAlignment="1">
      <alignment horizontal="center"/>
    </xf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7" borderId="4" xfId="0" applyFill="1" applyBorder="1"/>
    <xf numFmtId="0" fontId="0" fillId="9" borderId="4" xfId="0" applyFill="1" applyBorder="1"/>
    <xf numFmtId="0" fontId="1" fillId="0" borderId="4" xfId="0" applyFont="1" applyBorder="1" applyAlignment="1">
      <alignment horizontal="center" vertical="center" wrapText="1"/>
    </xf>
    <xf numFmtId="0" fontId="0" fillId="8" borderId="4" xfId="0" applyFill="1" applyBorder="1"/>
    <xf numFmtId="0" fontId="0" fillId="6" borderId="4" xfId="0" applyFill="1" applyBorder="1"/>
    <xf numFmtId="0" fontId="0" fillId="5" borderId="4" xfId="0" applyFill="1" applyBorder="1"/>
    <xf numFmtId="0" fontId="3" fillId="4" borderId="4" xfId="1" applyBorder="1"/>
    <xf numFmtId="0" fontId="0" fillId="10" borderId="0" xfId="0" applyFill="1" applyAlignment="1">
      <alignment vertic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zoomScaleNormal="129" workbookViewId="0">
      <pane ySplit="2" topLeftCell="A3" activePane="bottomLeft" state="frozen"/>
      <selection activeCell="D29" sqref="D29"/>
      <selection pane="bottomLeft" activeCell="H4" sqref="H4"/>
    </sheetView>
  </sheetViews>
  <sheetFormatPr defaultRowHeight="15" x14ac:dyDescent="0.25"/>
  <cols>
    <col min="1" max="1" width="11.140625" bestFit="1" customWidth="1"/>
    <col min="2" max="2" width="15.5703125" bestFit="1" customWidth="1"/>
    <col min="3" max="3" width="15.85546875" bestFit="1" customWidth="1"/>
    <col min="4" max="4" width="7.7109375" bestFit="1" customWidth="1"/>
    <col min="5" max="5" width="13.7109375" bestFit="1" customWidth="1"/>
    <col min="6" max="7" width="12" bestFit="1" customWidth="1"/>
    <col min="8" max="8" width="18.42578125" bestFit="1" customWidth="1"/>
    <col min="9" max="9" width="17.28515625" bestFit="1" customWidth="1"/>
    <col min="10" max="12" width="12" bestFit="1" customWidth="1"/>
    <col min="14" max="14" width="18.7109375" bestFit="1" customWidth="1"/>
    <col min="15" max="15" width="10" bestFit="1" customWidth="1"/>
    <col min="16" max="16" width="11.42578125" bestFit="1" customWidth="1"/>
    <col min="17" max="17" width="11.42578125" customWidth="1"/>
    <col min="18" max="18" width="13.5703125" bestFit="1" customWidth="1"/>
    <col min="19" max="19" width="11.7109375" bestFit="1" customWidth="1"/>
    <col min="20" max="20" width="11.7109375" customWidth="1"/>
    <col min="21" max="21" width="11.42578125" bestFit="1" customWidth="1"/>
    <col min="22" max="22" width="18.7109375" bestFit="1" customWidth="1"/>
    <col min="23" max="23" width="11" bestFit="1" customWidth="1"/>
  </cols>
  <sheetData>
    <row r="1" spans="1:22" ht="15.75" thickBot="1" x14ac:dyDescent="0.3">
      <c r="A1" s="32" t="s">
        <v>19</v>
      </c>
      <c r="B1" s="33"/>
      <c r="C1" s="33"/>
      <c r="D1" s="33"/>
      <c r="E1" s="33"/>
      <c r="F1" s="34"/>
      <c r="G1" s="32" t="s">
        <v>20</v>
      </c>
      <c r="H1" s="33"/>
      <c r="I1" s="33"/>
      <c r="J1" s="33"/>
      <c r="K1" s="33"/>
      <c r="L1" s="34"/>
    </row>
    <row r="2" spans="1:2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22" x14ac:dyDescent="0.25">
      <c r="A3">
        <v>4</v>
      </c>
      <c r="B3" s="3">
        <v>0</v>
      </c>
      <c r="C3" s="3">
        <v>0.3</v>
      </c>
      <c r="D3" s="3">
        <v>824</v>
      </c>
      <c r="E3" s="3">
        <v>0.03</v>
      </c>
      <c r="F3" s="3">
        <v>2.0299999999999998</v>
      </c>
      <c r="G3">
        <f>MIN(F3,MAX(0,((A3-4)/16*(C3-B3)+B3)*100000/(D3*9.81)))</f>
        <v>0</v>
      </c>
      <c r="H3" cm="1">
        <f t="array" ref="H3">INDEX('Sounding Table'!B:B,MATCH(G3,'Sounding Table'!A:A,1))+(G3-INDEX('Sounding Table'!A:A,MATCH(G3,'Sounding Table'!A:A,1)))*(INDEX('Sounding Table'!B:B,MATCH(G3,'Sounding Table'!A:A,1)+1)-INDEX('Sounding Table'!B:B,MATCH(G3,'Sounding Table'!A:A,1)))/(INDEX('Sounding Table'!A:A,MATCH(G3,'Sounding Table'!A:A,1)+1)-INDEX('Sounding Table'!A:A,MATCH(G3,'Sounding Table'!A:A,1)))</f>
        <v>0.03</v>
      </c>
      <c r="I3">
        <f>H3+E3</f>
        <v>0.06</v>
      </c>
      <c r="J3">
        <f>I3*1000</f>
        <v>60</v>
      </c>
      <c r="K3">
        <f>I3*D3/1000</f>
        <v>4.9439999999999998E-2</v>
      </c>
      <c r="L3">
        <f>MIN(100,MAX(0,(G3/F3)*100))</f>
        <v>0</v>
      </c>
      <c r="N3" s="31" t="s">
        <v>18</v>
      </c>
      <c r="O3" s="31"/>
      <c r="P3" s="31"/>
      <c r="Q3" s="31"/>
      <c r="R3" s="31"/>
      <c r="S3" s="31"/>
    </row>
    <row r="4" spans="1:22" x14ac:dyDescent="0.25">
      <c r="A4">
        <v>4.5</v>
      </c>
      <c r="B4" s="3">
        <v>0</v>
      </c>
      <c r="C4" s="3">
        <v>0.3</v>
      </c>
      <c r="D4" s="3">
        <v>824</v>
      </c>
      <c r="E4" s="3">
        <v>0.03</v>
      </c>
      <c r="F4" s="3">
        <v>2.0299999999999998</v>
      </c>
      <c r="G4">
        <f>MIN(F4,MAX(0,((A4-4)/16*(C4-B4)+B4)*100000/(D4*9.81)))</f>
        <v>0.11597785101392476</v>
      </c>
      <c r="H4" cm="1">
        <f t="array" ref="H4">INDEX('Sounding Table'!B:B,MATCH(G4,'Sounding Table'!A:A,1))+(G4-INDEX('Sounding Table'!A:A,MATCH(G4,'Sounding Table'!A:A,1)))*(INDEX('Sounding Table'!B:B,MATCH(G4,'Sounding Table'!A:A,1)+1)-INDEX('Sounding Table'!B:B,MATCH(G4,'Sounding Table'!A:A,1)))/(INDEX('Sounding Table'!A:A,MATCH(G4,'Sounding Table'!A:A,1)+1)-INDEX('Sounding Table'!A:A,MATCH(G4,'Sounding Table'!A:A,1)))</f>
        <v>0.31391140405569901</v>
      </c>
      <c r="I4">
        <f t="shared" ref="I4:I15" si="0">H4+E4</f>
        <v>0.34391140405569898</v>
      </c>
      <c r="J4">
        <f t="shared" ref="J4:J15" si="1">I4*1000</f>
        <v>343.91140405569899</v>
      </c>
      <c r="K4">
        <f t="shared" ref="K4:K15" si="2">I4*D4/1000</f>
        <v>0.28338299694189595</v>
      </c>
      <c r="L4">
        <f t="shared" ref="L4:L15" si="3">MIN(100,MAX(0,(G4/F4)*100))</f>
        <v>5.7131946312278217</v>
      </c>
      <c r="N4" s="3" t="s">
        <v>13</v>
      </c>
      <c r="O4" s="3" t="s">
        <v>22</v>
      </c>
      <c r="P4" s="3" t="s">
        <v>24</v>
      </c>
      <c r="Q4" s="3" t="s">
        <v>26</v>
      </c>
      <c r="R4" s="3" t="s">
        <v>21</v>
      </c>
      <c r="S4" s="3" t="s">
        <v>16</v>
      </c>
    </row>
    <row r="5" spans="1:22" x14ac:dyDescent="0.25">
      <c r="A5">
        <v>5</v>
      </c>
      <c r="B5" s="3">
        <v>0</v>
      </c>
      <c r="C5" s="3">
        <v>0.3</v>
      </c>
      <c r="D5" s="3">
        <v>824</v>
      </c>
      <c r="E5" s="3">
        <v>0.03</v>
      </c>
      <c r="F5" s="3">
        <v>2.0299999999999998</v>
      </c>
      <c r="G5">
        <f>MIN(F5,MAX(0,((A5-4)/16*(C5-B5)+B5)*100000/(D5*9.81)))</f>
        <v>0.23195570202784951</v>
      </c>
      <c r="H5" cm="1">
        <f t="array" ref="H5">INDEX('Sounding Table'!B:B,MATCH(G5,'Sounding Table'!A:A,1))+(G5-INDEX('Sounding Table'!A:A,MATCH(G5,'Sounding Table'!A:A,1)))*(INDEX('Sounding Table'!B:B,MATCH(G5,'Sounding Table'!A:A,1)+1)-INDEX('Sounding Table'!B:B,MATCH(G5,'Sounding Table'!A:A,1)))/(INDEX('Sounding Table'!A:A,MATCH(G5,'Sounding Table'!A:A,1)+1)-INDEX('Sounding Table'!A:A,MATCH(G5,'Sounding Table'!A:A,1)))</f>
        <v>0.93173421216709706</v>
      </c>
      <c r="I5">
        <f t="shared" si="0"/>
        <v>0.96173421216709709</v>
      </c>
      <c r="J5">
        <f t="shared" si="1"/>
        <v>961.7342121670971</v>
      </c>
      <c r="K5">
        <f t="shared" si="2"/>
        <v>0.792468990825688</v>
      </c>
      <c r="L5">
        <f t="shared" si="3"/>
        <v>11.426389262455643</v>
      </c>
      <c r="N5" s="3" t="s">
        <v>14</v>
      </c>
      <c r="O5" s="3" t="s">
        <v>23</v>
      </c>
      <c r="P5" s="3" t="s">
        <v>25</v>
      </c>
      <c r="Q5" s="3" t="s">
        <v>27</v>
      </c>
      <c r="R5" s="3" t="s">
        <v>15</v>
      </c>
      <c r="S5" s="3" t="s">
        <v>17</v>
      </c>
    </row>
    <row r="6" spans="1:22" x14ac:dyDescent="0.25">
      <c r="A6">
        <v>5.5</v>
      </c>
      <c r="B6" s="3">
        <v>0</v>
      </c>
      <c r="C6" s="3">
        <v>0.3</v>
      </c>
      <c r="D6" s="3">
        <v>824</v>
      </c>
      <c r="E6" s="3">
        <v>0.03</v>
      </c>
      <c r="F6" s="3">
        <v>2.0299999999999998</v>
      </c>
      <c r="G6">
        <f t="shared" ref="G6:G15" si="4">MIN(F6,MAX(0,((A6-4)/16*(C6-B6)+B6)*100000/(D6*9.81)))</f>
        <v>0.3479335530417742</v>
      </c>
      <c r="H6" cm="1">
        <f t="array" ref="H6">INDEX('Sounding Table'!B:B,MATCH(G6,'Sounding Table'!A:A,1))+(G6-INDEX('Sounding Table'!A:A,MATCH(G6,'Sounding Table'!A:A,1)))*(INDEX('Sounding Table'!B:B,MATCH(G6,'Sounding Table'!A:A,1)+1)-INDEX('Sounding Table'!B:B,MATCH(G6,'Sounding Table'!A:A,1)))/(INDEX('Sounding Table'!A:A,MATCH(G6,'Sounding Table'!A:A,1)+1)-INDEX('Sounding Table'!A:A,MATCH(G6,'Sounding Table'!A:A,1)))</f>
        <v>1.7076013182506453</v>
      </c>
      <c r="I6">
        <f t="shared" si="0"/>
        <v>1.7376013182506453</v>
      </c>
      <c r="J6">
        <f t="shared" si="1"/>
        <v>1737.6013182506454</v>
      </c>
      <c r="K6">
        <f t="shared" si="2"/>
        <v>1.4317834862385319</v>
      </c>
      <c r="L6">
        <f t="shared" si="3"/>
        <v>17.139583893683461</v>
      </c>
      <c r="N6" s="3">
        <v>4</v>
      </c>
      <c r="O6" s="3">
        <v>0</v>
      </c>
      <c r="P6" s="3">
        <v>0.14000000000000001</v>
      </c>
      <c r="Q6" s="3">
        <v>140</v>
      </c>
      <c r="R6" s="3">
        <v>0.13</v>
      </c>
      <c r="S6" s="3">
        <v>0</v>
      </c>
    </row>
    <row r="7" spans="1:22" x14ac:dyDescent="0.25">
      <c r="A7">
        <v>6</v>
      </c>
      <c r="B7" s="3">
        <v>0</v>
      </c>
      <c r="C7" s="3">
        <v>0.3</v>
      </c>
      <c r="D7" s="3">
        <v>824</v>
      </c>
      <c r="E7" s="3">
        <v>0.03</v>
      </c>
      <c r="F7" s="3">
        <v>2.0299999999999998</v>
      </c>
      <c r="G7">
        <f t="shared" si="4"/>
        <v>0.46391140405569903</v>
      </c>
      <c r="H7" cm="1">
        <f t="array" ref="H7">INDEX('Sounding Table'!B:B,MATCH(G7,'Sounding Table'!A:A,1))+(G7-INDEX('Sounding Table'!A:A,MATCH(G7,'Sounding Table'!A:A,1)))*(INDEX('Sounding Table'!B:B,MATCH(G7,'Sounding Table'!A:A,1)+1)-INDEX('Sounding Table'!B:B,MATCH(G7,'Sounding Table'!A:A,1)))/(INDEX('Sounding Table'!A:A,MATCH(G7,'Sounding Table'!A:A,1)+1)-INDEX('Sounding Table'!A:A,MATCH(G7,'Sounding Table'!A:A,1)))</f>
        <v>2.493468424334194</v>
      </c>
      <c r="I7">
        <f t="shared" si="0"/>
        <v>2.5234684243341938</v>
      </c>
      <c r="J7">
        <f t="shared" si="1"/>
        <v>2523.468424334194</v>
      </c>
      <c r="K7">
        <f t="shared" si="2"/>
        <v>2.0793379816513755</v>
      </c>
      <c r="L7">
        <f t="shared" si="3"/>
        <v>22.852778524911287</v>
      </c>
      <c r="N7" s="3">
        <v>4.5</v>
      </c>
      <c r="O7" s="3">
        <v>0.10100000000000001</v>
      </c>
      <c r="P7" s="3">
        <v>0.32200000000000001</v>
      </c>
      <c r="Q7" s="3">
        <v>322.38</v>
      </c>
      <c r="R7" s="3">
        <v>0.31</v>
      </c>
      <c r="S7" s="3">
        <v>4.67</v>
      </c>
    </row>
    <row r="8" spans="1:22" x14ac:dyDescent="0.25">
      <c r="A8">
        <v>6.5</v>
      </c>
      <c r="B8" s="3">
        <v>0</v>
      </c>
      <c r="C8" s="3">
        <v>0.3</v>
      </c>
      <c r="D8" s="3">
        <v>824</v>
      </c>
      <c r="E8" s="3">
        <v>0.03</v>
      </c>
      <c r="F8" s="3">
        <v>2.0299999999999998</v>
      </c>
      <c r="G8">
        <f t="shared" si="4"/>
        <v>0.57988925506962374</v>
      </c>
      <c r="H8" cm="1">
        <f t="array" ref="H8">INDEX('Sounding Table'!B:B,MATCH(G8,'Sounding Table'!A:A,1))+(G8-INDEX('Sounding Table'!A:A,MATCH(G8,'Sounding Table'!A:A,1)))*(INDEX('Sounding Table'!B:B,MATCH(G8,'Sounding Table'!A:A,1)+1)-INDEX('Sounding Table'!B:B,MATCH(G8,'Sounding Table'!A:A,1)))/(INDEX('Sounding Table'!A:A,MATCH(G8,'Sounding Table'!A:A,1)+1)-INDEX('Sounding Table'!A:A,MATCH(G8,'Sounding Table'!A:A,1)))</f>
        <v>3.2791140405569901</v>
      </c>
      <c r="I8">
        <f t="shared" si="0"/>
        <v>3.3091140405569899</v>
      </c>
      <c r="J8">
        <f t="shared" si="1"/>
        <v>3309.1140405569899</v>
      </c>
      <c r="K8">
        <f t="shared" si="2"/>
        <v>2.7267099694189598</v>
      </c>
      <c r="L8">
        <f t="shared" si="3"/>
        <v>28.565973156139101</v>
      </c>
      <c r="N8" s="3">
        <v>5</v>
      </c>
      <c r="O8" s="3">
        <v>0.20100000000000001</v>
      </c>
      <c r="P8" s="3">
        <v>0.61499999999999999</v>
      </c>
      <c r="Q8" s="3">
        <v>614.76</v>
      </c>
      <c r="R8" s="3">
        <v>0.57999999999999996</v>
      </c>
      <c r="S8" s="3">
        <v>9.35</v>
      </c>
    </row>
    <row r="9" spans="1:22" x14ac:dyDescent="0.25">
      <c r="A9">
        <v>7</v>
      </c>
      <c r="B9" s="3">
        <v>0</v>
      </c>
      <c r="C9" s="3">
        <v>0.3</v>
      </c>
      <c r="D9" s="3">
        <v>824</v>
      </c>
      <c r="E9" s="3">
        <v>0.03</v>
      </c>
      <c r="F9" s="3">
        <v>2.0299999999999998</v>
      </c>
      <c r="G9">
        <f t="shared" si="4"/>
        <v>0.6958671060835484</v>
      </c>
      <c r="H9" cm="1">
        <f t="array" ref="H9">INDEX('Sounding Table'!B:B,MATCH(G9,'Sounding Table'!A:A,1))+(G9-INDEX('Sounding Table'!A:A,MATCH(G9,'Sounding Table'!A:A,1)))*(INDEX('Sounding Table'!B:B,MATCH(G9,'Sounding Table'!A:A,1)+1)-INDEX('Sounding Table'!B:B,MATCH(G9,'Sounding Table'!A:A,1)))/(INDEX('Sounding Table'!A:A,MATCH(G9,'Sounding Table'!A:A,1)+1)-INDEX('Sounding Table'!A:A,MATCH(G9,'Sounding Table'!A:A,1)))</f>
        <v>4.0569368486683874</v>
      </c>
      <c r="I9">
        <f t="shared" si="0"/>
        <v>4.0869368486683877</v>
      </c>
      <c r="J9">
        <f t="shared" si="1"/>
        <v>4086.9368486683875</v>
      </c>
      <c r="K9">
        <f t="shared" si="2"/>
        <v>3.3676359633027513</v>
      </c>
      <c r="L9">
        <f t="shared" si="3"/>
        <v>34.279167787366923</v>
      </c>
      <c r="N9" s="3">
        <v>6</v>
      </c>
      <c r="O9" s="3">
        <v>0.40200000000000002</v>
      </c>
      <c r="P9" s="3">
        <v>1.49</v>
      </c>
      <c r="Q9" s="3">
        <v>1489.53</v>
      </c>
      <c r="R9" s="3">
        <v>1.42</v>
      </c>
      <c r="S9" s="3">
        <v>18.7</v>
      </c>
    </row>
    <row r="10" spans="1:22" x14ac:dyDescent="0.25">
      <c r="A10">
        <v>7.5</v>
      </c>
      <c r="B10" s="3">
        <v>0</v>
      </c>
      <c r="C10" s="3">
        <v>0.3</v>
      </c>
      <c r="D10" s="3">
        <v>824</v>
      </c>
      <c r="E10" s="3">
        <v>0.03</v>
      </c>
      <c r="F10" s="3">
        <v>2.0299999999999998</v>
      </c>
      <c r="G10">
        <f t="shared" si="4"/>
        <v>0.81184495709747329</v>
      </c>
      <c r="H10" cm="1">
        <f t="array" ref="H10">INDEX('Sounding Table'!B:B,MATCH(G10,'Sounding Table'!A:A,1))+(G10-INDEX('Sounding Table'!A:A,MATCH(G10,'Sounding Table'!A:A,1)))*(INDEX('Sounding Table'!B:B,MATCH(G10,'Sounding Table'!A:A,1)+1)-INDEX('Sounding Table'!B:B,MATCH(G10,'Sounding Table'!A:A,1)))/(INDEX('Sounding Table'!A:A,MATCH(G10,'Sounding Table'!A:A,1)+1)-INDEX('Sounding Table'!A:A,MATCH(G10,'Sounding Table'!A:A,1)))</f>
        <v>4.8410697425848399</v>
      </c>
      <c r="I10">
        <f t="shared" si="0"/>
        <v>4.8710697425848402</v>
      </c>
      <c r="J10">
        <f t="shared" si="1"/>
        <v>4871.0697425848402</v>
      </c>
      <c r="K10">
        <f t="shared" si="2"/>
        <v>4.0137614678899078</v>
      </c>
      <c r="L10">
        <f t="shared" si="3"/>
        <v>39.992362418594745</v>
      </c>
      <c r="N10" s="3">
        <v>7</v>
      </c>
      <c r="O10" s="3">
        <v>0.60399999999999998</v>
      </c>
      <c r="P10" s="3">
        <v>2.661</v>
      </c>
      <c r="Q10" s="3">
        <v>2661.44</v>
      </c>
      <c r="R10" s="3">
        <v>2.5299999999999998</v>
      </c>
      <c r="S10" s="3">
        <v>28.05</v>
      </c>
    </row>
    <row r="11" spans="1:22" x14ac:dyDescent="0.25">
      <c r="A11">
        <v>8</v>
      </c>
      <c r="B11" s="3">
        <v>0</v>
      </c>
      <c r="C11" s="3">
        <v>0.3</v>
      </c>
      <c r="D11" s="3">
        <v>824</v>
      </c>
      <c r="E11" s="3">
        <v>0.03</v>
      </c>
      <c r="F11" s="3">
        <v>2.0299999999999998</v>
      </c>
      <c r="G11">
        <f t="shared" si="4"/>
        <v>0.92782280811139806</v>
      </c>
      <c r="H11" cm="1">
        <f t="array" ref="H11">INDEX('Sounding Table'!B:B,MATCH(G11,'Sounding Table'!A:A,1))+(G11-INDEX('Sounding Table'!A:A,MATCH(G11,'Sounding Table'!A:A,1)))*(INDEX('Sounding Table'!B:B,MATCH(G11,'Sounding Table'!A:A,1)+1)-INDEX('Sounding Table'!B:B,MATCH(G11,'Sounding Table'!A:A,1)))/(INDEX('Sounding Table'!A:A,MATCH(G11,'Sounding Table'!A:A,1)+1)-INDEX('Sounding Table'!A:A,MATCH(G11,'Sounding Table'!A:A,1)))</f>
        <v>5.6225824648911837</v>
      </c>
      <c r="I11">
        <f t="shared" si="0"/>
        <v>5.652582464891184</v>
      </c>
      <c r="J11">
        <f t="shared" si="1"/>
        <v>5652.5824648911839</v>
      </c>
      <c r="K11">
        <f t="shared" si="2"/>
        <v>4.6577279510703358</v>
      </c>
      <c r="L11">
        <f t="shared" si="3"/>
        <v>45.705557049822573</v>
      </c>
      <c r="N11" s="3">
        <v>8</v>
      </c>
      <c r="O11" s="3">
        <v>0.80500000000000005</v>
      </c>
      <c r="P11" s="3">
        <v>3.9380000000000002</v>
      </c>
      <c r="Q11" s="3">
        <v>3938.11</v>
      </c>
      <c r="R11" s="3">
        <v>3.74</v>
      </c>
      <c r="S11" s="3">
        <v>37.4</v>
      </c>
    </row>
    <row r="12" spans="1:22" x14ac:dyDescent="0.25">
      <c r="A12">
        <v>8.5</v>
      </c>
      <c r="B12" s="3">
        <v>0</v>
      </c>
      <c r="C12" s="3">
        <v>0.3</v>
      </c>
      <c r="D12" s="3">
        <v>824</v>
      </c>
      <c r="E12" s="3">
        <v>0.03</v>
      </c>
      <c r="F12" s="3">
        <v>2.0299999999999998</v>
      </c>
      <c r="G12">
        <f t="shared" si="4"/>
        <v>1.0438006591253228</v>
      </c>
      <c r="H12" cm="1">
        <f t="array" ref="H12">INDEX('Sounding Table'!B:B,MATCH(G12,'Sounding Table'!A:A,1))+(G12-INDEX('Sounding Table'!A:A,MATCH(G12,'Sounding Table'!A:A,1)))*(INDEX('Sounding Table'!B:B,MATCH(G12,'Sounding Table'!A:A,1)+1)-INDEX('Sounding Table'!B:B,MATCH(G12,'Sounding Table'!A:A,1)))/(INDEX('Sounding Table'!A:A,MATCH(G12,'Sounding Table'!A:A,1)+1)-INDEX('Sounding Table'!A:A,MATCH(G12,'Sounding Table'!A:A,1)))</f>
        <v>6.4028039547519375</v>
      </c>
      <c r="I12">
        <f t="shared" si="0"/>
        <v>6.4328039547519378</v>
      </c>
      <c r="J12">
        <f t="shared" si="1"/>
        <v>6432.8039547519375</v>
      </c>
      <c r="K12">
        <f t="shared" si="2"/>
        <v>5.3006304587155961</v>
      </c>
      <c r="L12">
        <f t="shared" si="3"/>
        <v>51.418751681050388</v>
      </c>
      <c r="N12" s="3">
        <v>9</v>
      </c>
      <c r="O12" s="3">
        <v>1.0660000000000001</v>
      </c>
      <c r="P12" s="3">
        <v>5.2160000000000002</v>
      </c>
      <c r="Q12" s="3">
        <v>5215.7299999999996</v>
      </c>
      <c r="R12" s="3">
        <v>4.95</v>
      </c>
      <c r="S12" s="3">
        <v>46.75</v>
      </c>
    </row>
    <row r="13" spans="1:22" x14ac:dyDescent="0.25">
      <c r="A13">
        <v>9</v>
      </c>
      <c r="B13" s="3">
        <v>0</v>
      </c>
      <c r="C13" s="3">
        <v>0.3</v>
      </c>
      <c r="D13" s="3">
        <v>824</v>
      </c>
      <c r="E13" s="3">
        <v>0.03</v>
      </c>
      <c r="F13" s="3">
        <v>2.0299999999999998</v>
      </c>
      <c r="G13">
        <f t="shared" si="4"/>
        <v>1.1597785101392475</v>
      </c>
      <c r="H13" cm="1">
        <f t="array" ref="H13">INDEX('Sounding Table'!B:B,MATCH(G13,'Sounding Table'!A:A,1))+(G13-INDEX('Sounding Table'!A:A,MATCH(G13,'Sounding Table'!A:A,1)))*(INDEX('Sounding Table'!B:B,MATCH(G13,'Sounding Table'!A:A,1)+1)-INDEX('Sounding Table'!B:B,MATCH(G13,'Sounding Table'!A:A,1)))/(INDEX('Sounding Table'!A:A,MATCH(G13,'Sounding Table'!A:A,1)+1)-INDEX('Sounding Table'!A:A,MATCH(G13,'Sounding Table'!A:A,1)))</f>
        <v>7.1886710608354853</v>
      </c>
      <c r="I13">
        <f t="shared" si="0"/>
        <v>7.2186710608354856</v>
      </c>
      <c r="J13">
        <f t="shared" si="1"/>
        <v>7218.6710608354852</v>
      </c>
      <c r="K13">
        <f t="shared" si="2"/>
        <v>5.9481849541284397</v>
      </c>
      <c r="L13">
        <f t="shared" si="3"/>
        <v>57.131946312278203</v>
      </c>
      <c r="N13" s="3">
        <v>10</v>
      </c>
      <c r="O13" s="3">
        <v>1.2070000000000001</v>
      </c>
      <c r="P13" s="3">
        <v>6.4969999999999999</v>
      </c>
      <c r="Q13" s="3">
        <v>6497.17</v>
      </c>
      <c r="R13" s="3">
        <v>6.17</v>
      </c>
      <c r="S13" s="3">
        <v>56.09</v>
      </c>
    </row>
    <row r="14" spans="1:22" x14ac:dyDescent="0.25">
      <c r="A14">
        <v>9.5</v>
      </c>
      <c r="B14" s="3">
        <v>0</v>
      </c>
      <c r="C14" s="3">
        <v>0.3</v>
      </c>
      <c r="D14" s="3">
        <v>824</v>
      </c>
      <c r="E14" s="3">
        <v>0.03</v>
      </c>
      <c r="F14" s="3">
        <v>2.0299999999999998</v>
      </c>
      <c r="G14">
        <f t="shared" si="4"/>
        <v>1.2757563611531724</v>
      </c>
      <c r="H14" cm="1">
        <f t="array" ref="H14">INDEX('Sounding Table'!B:B,MATCH(G14,'Sounding Table'!A:A,1))+(G14-INDEX('Sounding Table'!A:A,MATCH(G14,'Sounding Table'!A:A,1)))*(INDEX('Sounding Table'!B:B,MATCH(G14,'Sounding Table'!A:A,1)+1)-INDEX('Sounding Table'!B:B,MATCH(G14,'Sounding Table'!A:A,1)))/(INDEX('Sounding Table'!A:A,MATCH(G14,'Sounding Table'!A:A,1)+1)-INDEX('Sounding Table'!A:A,MATCH(G14,'Sounding Table'!A:A,1)))</f>
        <v>7.9745381669190341</v>
      </c>
      <c r="I14">
        <f t="shared" si="0"/>
        <v>8.0045381669190334</v>
      </c>
      <c r="J14">
        <f t="shared" si="1"/>
        <v>8004.5381669190338</v>
      </c>
      <c r="K14">
        <f t="shared" si="2"/>
        <v>6.5957394495412833</v>
      </c>
      <c r="L14">
        <f t="shared" si="3"/>
        <v>62.845140943506038</v>
      </c>
      <c r="N14" s="3">
        <v>12</v>
      </c>
      <c r="O14" s="3">
        <v>1.61</v>
      </c>
      <c r="P14" s="3">
        <v>9.0570000000000004</v>
      </c>
      <c r="Q14" s="3">
        <v>9057.17</v>
      </c>
      <c r="R14" s="3">
        <v>8.6</v>
      </c>
      <c r="S14" s="3">
        <v>74.790000000000006</v>
      </c>
    </row>
    <row r="15" spans="1:22" x14ac:dyDescent="0.25">
      <c r="A15">
        <v>10</v>
      </c>
      <c r="B15" s="3">
        <v>0</v>
      </c>
      <c r="C15" s="3">
        <v>0.3</v>
      </c>
      <c r="D15" s="3">
        <v>824</v>
      </c>
      <c r="E15" s="3">
        <v>0.03</v>
      </c>
      <c r="F15" s="3">
        <v>2.0299999999999998</v>
      </c>
      <c r="G15">
        <f t="shared" si="4"/>
        <v>1.3917342121670968</v>
      </c>
      <c r="H15" cm="1">
        <f t="array" ref="H15">INDEX('Sounding Table'!B:B,MATCH(G15,'Sounding Table'!A:A,1))+(G15-INDEX('Sounding Table'!A:A,MATCH(G15,'Sounding Table'!A:A,1)))*(INDEX('Sounding Table'!B:B,MATCH(G15,'Sounding Table'!A:A,1)+1)-INDEX('Sounding Table'!B:B,MATCH(G15,'Sounding Table'!A:A,1)))/(INDEX('Sounding Table'!A:A,MATCH(G15,'Sounding Table'!A:A,1)+1)-INDEX('Sounding Table'!A:A,MATCH(G15,'Sounding Table'!A:A,1)))</f>
        <v>8.7538736973367755</v>
      </c>
      <c r="I15">
        <f t="shared" si="0"/>
        <v>8.7838736973367748</v>
      </c>
      <c r="J15">
        <f t="shared" si="1"/>
        <v>8783.8736973367741</v>
      </c>
      <c r="K15">
        <f t="shared" si="2"/>
        <v>7.2379119266055021</v>
      </c>
      <c r="L15">
        <f t="shared" si="3"/>
        <v>68.558335574733846</v>
      </c>
      <c r="N15" s="3">
        <v>14</v>
      </c>
      <c r="O15" s="3">
        <v>2.012</v>
      </c>
      <c r="P15" s="3">
        <v>11.621</v>
      </c>
      <c r="Q15" s="3">
        <v>11621.46</v>
      </c>
      <c r="R15" s="3">
        <v>11.04</v>
      </c>
      <c r="S15" s="3">
        <v>93.49</v>
      </c>
    </row>
    <row r="16" spans="1:22" x14ac:dyDescent="0.25">
      <c r="A16">
        <v>10.5</v>
      </c>
      <c r="B16" s="3">
        <v>0</v>
      </c>
      <c r="C16" s="3">
        <v>0.3</v>
      </c>
      <c r="D16" s="3">
        <v>824</v>
      </c>
      <c r="E16" s="3">
        <v>0.03</v>
      </c>
      <c r="F16" s="3">
        <v>2.0299999999999998</v>
      </c>
      <c r="G16">
        <f t="shared" ref="G16:G25" si="5">MIN(F16,MAX(0,((A16-4)/16*(C16-B16)+B16)*100000/(D16*9.81)))</f>
        <v>1.5077120631810219</v>
      </c>
      <c r="H16" cm="1">
        <f t="array" ref="H16">INDEX('Sounding Table'!B:B,MATCH(G16,'Sounding Table'!A:A,1))+(G16-INDEX('Sounding Table'!A:A,MATCH(G16,'Sounding Table'!A:A,1)))*(INDEX('Sounding Table'!B:B,MATCH(G16,'Sounding Table'!A:A,1)+1)-INDEX('Sounding Table'!B:B,MATCH(G16,'Sounding Table'!A:A,1)))/(INDEX('Sounding Table'!A:A,MATCH(G16,'Sounding Table'!A:A,1)+1)-INDEX('Sounding Table'!A:A,MATCH(G16,'Sounding Table'!A:A,1)))</f>
        <v>9.5362723790861317</v>
      </c>
      <c r="I16">
        <f t="shared" ref="I16:I25" si="6">H16+E16</f>
        <v>9.566272379086131</v>
      </c>
      <c r="J16">
        <f t="shared" ref="J16:J25" si="7">I16*1000</f>
        <v>9566.272379086131</v>
      </c>
      <c r="K16">
        <f t="shared" ref="K16:K25" si="8">I16*D16/1000</f>
        <v>7.8826084403669716</v>
      </c>
      <c r="L16">
        <f t="shared" ref="L16:L25" si="9">MIN(100,MAX(0,(G16/F16)*100))</f>
        <v>74.271530205961682</v>
      </c>
      <c r="N16" s="3">
        <v>15</v>
      </c>
      <c r="O16" s="3">
        <v>2.1520000000000001</v>
      </c>
      <c r="P16" s="3">
        <v>12.5</v>
      </c>
      <c r="Q16" s="3">
        <v>12520</v>
      </c>
      <c r="R16" s="3">
        <v>11.89</v>
      </c>
      <c r="S16" s="3">
        <v>100</v>
      </c>
      <c r="V16" s="5"/>
    </row>
    <row r="17" spans="1:19" x14ac:dyDescent="0.25">
      <c r="A17">
        <v>11</v>
      </c>
      <c r="B17" s="3">
        <v>0</v>
      </c>
      <c r="C17" s="3">
        <v>0.3</v>
      </c>
      <c r="D17" s="3">
        <v>824</v>
      </c>
      <c r="E17" s="3">
        <v>0.03</v>
      </c>
      <c r="F17" s="3">
        <v>2.0299999999999998</v>
      </c>
      <c r="G17">
        <f t="shared" si="5"/>
        <v>1.6236899141949466</v>
      </c>
      <c r="H17" cm="1">
        <f t="array" ref="H17">INDEX('Sounding Table'!B:B,MATCH(G17,'Sounding Table'!A:A,1))+(G17-INDEX('Sounding Table'!A:A,MATCH(G17,'Sounding Table'!A:A,1)))*(INDEX('Sounding Table'!B:B,MATCH(G17,'Sounding Table'!A:A,1)+1)-INDEX('Sounding Table'!B:B,MATCH(G17,'Sounding Table'!A:A,1)))/(INDEX('Sounding Table'!A:A,MATCH(G17,'Sounding Table'!A:A,1)+1)-INDEX('Sounding Table'!A:A,MATCH(G17,'Sounding Table'!A:A,1)))</f>
        <v>10.322139485169679</v>
      </c>
      <c r="I17">
        <f t="shared" si="6"/>
        <v>10.352139485169678</v>
      </c>
      <c r="J17">
        <f t="shared" si="7"/>
        <v>10352.139485169679</v>
      </c>
      <c r="K17">
        <f t="shared" si="8"/>
        <v>8.5301629357798134</v>
      </c>
      <c r="L17">
        <f t="shared" si="9"/>
        <v>79.984724837189489</v>
      </c>
    </row>
    <row r="18" spans="1:19" x14ac:dyDescent="0.25">
      <c r="A18">
        <v>11.5</v>
      </c>
      <c r="B18" s="3">
        <v>0</v>
      </c>
      <c r="C18" s="3">
        <v>0.3</v>
      </c>
      <c r="D18" s="3">
        <v>824</v>
      </c>
      <c r="E18" s="3">
        <v>0.03</v>
      </c>
      <c r="F18" s="3">
        <v>2.0299999999999998</v>
      </c>
      <c r="G18">
        <f t="shared" si="5"/>
        <v>1.7396677652088715</v>
      </c>
      <c r="H18" cm="1">
        <f t="array" ref="H18">INDEX('Sounding Table'!B:B,MATCH(G18,'Sounding Table'!A:A,1))+(G18-INDEX('Sounding Table'!A:A,MATCH(G18,'Sounding Table'!A:A,1)))*(INDEX('Sounding Table'!B:B,MATCH(G18,'Sounding Table'!A:A,1)+1)-INDEX('Sounding Table'!B:B,MATCH(G18,'Sounding Table'!A:A,1)))/(INDEX('Sounding Table'!A:A,MATCH(G18,'Sounding Table'!A:A,1)+1)-INDEX('Sounding Table'!A:A,MATCH(G18,'Sounding Table'!A:A,1)))</f>
        <v>11.107342121670971</v>
      </c>
      <c r="I18">
        <f t="shared" si="6"/>
        <v>11.13734212167097</v>
      </c>
      <c r="J18">
        <f t="shared" si="7"/>
        <v>11137.34212167097</v>
      </c>
      <c r="K18">
        <f t="shared" si="8"/>
        <v>9.1771699082568787</v>
      </c>
      <c r="L18">
        <f t="shared" si="9"/>
        <v>85.697919468417311</v>
      </c>
    </row>
    <row r="19" spans="1:19" x14ac:dyDescent="0.25">
      <c r="A19">
        <v>12</v>
      </c>
      <c r="B19" s="3">
        <v>0</v>
      </c>
      <c r="C19" s="3">
        <v>0.3</v>
      </c>
      <c r="D19" s="3">
        <v>824</v>
      </c>
      <c r="E19" s="3">
        <v>0.03</v>
      </c>
      <c r="F19" s="3">
        <v>2.0299999999999998</v>
      </c>
      <c r="G19">
        <f t="shared" si="5"/>
        <v>1.8556456162227961</v>
      </c>
      <c r="H19" cm="1">
        <f t="array" ref="H19">INDEX('Sounding Table'!B:B,MATCH(G19,'Sounding Table'!A:A,1))+(G19-INDEX('Sounding Table'!A:A,MATCH(G19,'Sounding Table'!A:A,1)))*(INDEX('Sounding Table'!B:B,MATCH(G19,'Sounding Table'!A:A,1)+1)-INDEX('Sounding Table'!B:B,MATCH(G19,'Sounding Table'!A:A,1)))/(INDEX('Sounding Table'!A:A,MATCH(G19,'Sounding Table'!A:A,1)+1)-INDEX('Sounding Table'!A:A,MATCH(G19,'Sounding Table'!A:A,1)))</f>
        <v>11.88516492978237</v>
      </c>
      <c r="I19">
        <f t="shared" si="6"/>
        <v>11.915164929782369</v>
      </c>
      <c r="J19">
        <f t="shared" si="7"/>
        <v>11915.16492978237</v>
      </c>
      <c r="K19">
        <f t="shared" si="8"/>
        <v>9.8180959021406728</v>
      </c>
      <c r="L19">
        <f t="shared" si="9"/>
        <v>91.411114099645147</v>
      </c>
    </row>
    <row r="20" spans="1:19" x14ac:dyDescent="0.25">
      <c r="A20">
        <v>12.5</v>
      </c>
      <c r="B20" s="3">
        <v>0</v>
      </c>
      <c r="C20" s="3">
        <v>0.3</v>
      </c>
      <c r="D20" s="3">
        <v>824</v>
      </c>
      <c r="E20" s="3">
        <v>0.03</v>
      </c>
      <c r="F20" s="3">
        <v>2.0299999999999998</v>
      </c>
      <c r="G20">
        <f t="shared" si="5"/>
        <v>1.9716234672367206</v>
      </c>
      <c r="H20" cm="1">
        <f t="array" ref="H20">INDEX('Sounding Table'!B:B,MATCH(G20,'Sounding Table'!A:A,1))+(G20-INDEX('Sounding Table'!A:A,MATCH(G20,'Sounding Table'!A:A,1)))*(INDEX('Sounding Table'!B:B,MATCH(G20,'Sounding Table'!A:A,1)+1)-INDEX('Sounding Table'!B:B,MATCH(G20,'Sounding Table'!A:A,1)))/(INDEX('Sounding Table'!A:A,MATCH(G20,'Sounding Table'!A:A,1)+1)-INDEX('Sounding Table'!A:A,MATCH(G20,'Sounding Table'!A:A,1)))</f>
        <v>12.669740803420323</v>
      </c>
      <c r="I20">
        <f t="shared" si="6"/>
        <v>12.699740803420323</v>
      </c>
      <c r="J20">
        <f t="shared" si="7"/>
        <v>12699.740803420322</v>
      </c>
      <c r="K20">
        <f t="shared" si="8"/>
        <v>10.464586422018346</v>
      </c>
      <c r="L20">
        <f t="shared" si="9"/>
        <v>97.12430873087294</v>
      </c>
      <c r="N20" s="6" t="s">
        <v>42</v>
      </c>
      <c r="O20" s="8" t="s">
        <v>44</v>
      </c>
      <c r="P20" s="8" t="s">
        <v>43</v>
      </c>
      <c r="Q20" s="6" t="s">
        <v>41</v>
      </c>
      <c r="R20" s="8" t="s">
        <v>4</v>
      </c>
      <c r="S20" s="8" t="s">
        <v>5</v>
      </c>
    </row>
    <row r="21" spans="1:19" x14ac:dyDescent="0.25">
      <c r="A21">
        <v>13</v>
      </c>
      <c r="B21" s="3">
        <v>0</v>
      </c>
      <c r="C21" s="3">
        <v>0.3</v>
      </c>
      <c r="D21" s="3">
        <v>824</v>
      </c>
      <c r="E21" s="3">
        <v>0.03</v>
      </c>
      <c r="F21" s="3">
        <v>2.0299999999999998</v>
      </c>
      <c r="G21">
        <f t="shared" si="5"/>
        <v>2.0299999999999998</v>
      </c>
      <c r="H21" cm="1">
        <f t="array" ref="H21">INDEX('Sounding Table'!B:B,MATCH(G21,'Sounding Table'!A:A,1))+(G21-INDEX('Sounding Table'!A:A,MATCH(G21,'Sounding Table'!A:A,1)))*(INDEX('Sounding Table'!B:B,MATCH(G21,'Sounding Table'!A:A,1)+1)-INDEX('Sounding Table'!B:B,MATCH(G21,'Sounding Table'!A:A,1)))/(INDEX('Sounding Table'!A:A,MATCH(G21,'Sounding Table'!A:A,1)+1)-INDEX('Sounding Table'!A:A,MATCH(G21,'Sounding Table'!A:A,1)))</f>
        <v>13.06</v>
      </c>
      <c r="I21">
        <f t="shared" si="6"/>
        <v>13.09</v>
      </c>
      <c r="J21">
        <f t="shared" si="7"/>
        <v>13090</v>
      </c>
      <c r="K21">
        <f t="shared" si="8"/>
        <v>10.786160000000001</v>
      </c>
      <c r="L21">
        <f t="shared" si="9"/>
        <v>100</v>
      </c>
      <c r="N21" s="4" t="s">
        <v>29</v>
      </c>
      <c r="O21" s="3">
        <v>0</v>
      </c>
      <c r="P21" s="3">
        <v>0.2</v>
      </c>
      <c r="Q21" s="3">
        <v>824</v>
      </c>
      <c r="R21" s="3">
        <v>0.01</v>
      </c>
      <c r="S21" s="3">
        <v>0.88600000000000001</v>
      </c>
    </row>
    <row r="22" spans="1:19" x14ac:dyDescent="0.25">
      <c r="A22">
        <v>13.5</v>
      </c>
      <c r="B22" s="3">
        <v>0</v>
      </c>
      <c r="C22" s="3">
        <v>0.3</v>
      </c>
      <c r="D22" s="3">
        <v>824</v>
      </c>
      <c r="E22" s="3">
        <v>0.03</v>
      </c>
      <c r="F22" s="3">
        <v>2.0299999999999998</v>
      </c>
      <c r="G22">
        <f t="shared" si="5"/>
        <v>2.0299999999999998</v>
      </c>
      <c r="H22" cm="1">
        <f t="array" ref="H22">INDEX('Sounding Table'!B:B,MATCH(G22,'Sounding Table'!A:A,1))+(G22-INDEX('Sounding Table'!A:A,MATCH(G22,'Sounding Table'!A:A,1)))*(INDEX('Sounding Table'!B:B,MATCH(G22,'Sounding Table'!A:A,1)+1)-INDEX('Sounding Table'!B:B,MATCH(G22,'Sounding Table'!A:A,1)))/(INDEX('Sounding Table'!A:A,MATCH(G22,'Sounding Table'!A:A,1)+1)-INDEX('Sounding Table'!A:A,MATCH(G22,'Sounding Table'!A:A,1)))</f>
        <v>13.06</v>
      </c>
      <c r="I22">
        <f t="shared" si="6"/>
        <v>13.09</v>
      </c>
      <c r="J22">
        <f t="shared" si="7"/>
        <v>13090</v>
      </c>
      <c r="K22">
        <f t="shared" si="8"/>
        <v>10.786160000000001</v>
      </c>
      <c r="L22">
        <f t="shared" si="9"/>
        <v>100</v>
      </c>
      <c r="N22" s="4" t="s">
        <v>30</v>
      </c>
      <c r="O22" s="3">
        <v>0</v>
      </c>
      <c r="P22" s="3">
        <v>0.2</v>
      </c>
      <c r="Q22" s="3">
        <v>824</v>
      </c>
      <c r="R22" s="3">
        <v>0.03</v>
      </c>
      <c r="S22" s="3">
        <v>2.0750000000000002</v>
      </c>
    </row>
    <row r="23" spans="1:19" x14ac:dyDescent="0.25">
      <c r="A23">
        <v>14</v>
      </c>
      <c r="B23" s="3">
        <v>0</v>
      </c>
      <c r="C23" s="3">
        <v>0.3</v>
      </c>
      <c r="D23" s="3">
        <v>824</v>
      </c>
      <c r="E23" s="3">
        <v>0.03</v>
      </c>
      <c r="F23" s="3">
        <v>2.0299999999999998</v>
      </c>
      <c r="G23">
        <f t="shared" si="5"/>
        <v>2.0299999999999998</v>
      </c>
      <c r="H23" cm="1">
        <f t="array" ref="H23">INDEX('Sounding Table'!B:B,MATCH(G23,'Sounding Table'!A:A,1))+(G23-INDEX('Sounding Table'!A:A,MATCH(G23,'Sounding Table'!A:A,1)))*(INDEX('Sounding Table'!B:B,MATCH(G23,'Sounding Table'!A:A,1)+1)-INDEX('Sounding Table'!B:B,MATCH(G23,'Sounding Table'!A:A,1)))/(INDEX('Sounding Table'!A:A,MATCH(G23,'Sounding Table'!A:A,1)+1)-INDEX('Sounding Table'!A:A,MATCH(G23,'Sounding Table'!A:A,1)))</f>
        <v>13.06</v>
      </c>
      <c r="I23">
        <f t="shared" si="6"/>
        <v>13.09</v>
      </c>
      <c r="J23">
        <f t="shared" si="7"/>
        <v>13090</v>
      </c>
      <c r="K23">
        <f t="shared" si="8"/>
        <v>10.786160000000001</v>
      </c>
      <c r="L23">
        <f t="shared" si="9"/>
        <v>100</v>
      </c>
      <c r="N23" s="4" t="s">
        <v>31</v>
      </c>
      <c r="O23" s="3">
        <v>0</v>
      </c>
      <c r="P23" s="3">
        <v>0.2</v>
      </c>
      <c r="Q23" s="3">
        <v>824</v>
      </c>
      <c r="R23" s="3">
        <v>0.03</v>
      </c>
      <c r="S23" s="3">
        <v>2.0760000000000001</v>
      </c>
    </row>
    <row r="24" spans="1:19" ht="13.5" customHeight="1" x14ac:dyDescent="0.25">
      <c r="A24">
        <v>14.5</v>
      </c>
      <c r="B24" s="3">
        <v>0</v>
      </c>
      <c r="C24" s="3">
        <v>0.3</v>
      </c>
      <c r="D24" s="3">
        <v>824</v>
      </c>
      <c r="E24" s="3">
        <v>0.03</v>
      </c>
      <c r="F24" s="3">
        <v>2.0299999999999998</v>
      </c>
      <c r="G24">
        <f t="shared" si="5"/>
        <v>2.0299999999999998</v>
      </c>
      <c r="H24" cm="1">
        <f t="array" ref="H24">INDEX('Sounding Table'!B:B,MATCH(G24,'Sounding Table'!A:A,1))+(G24-INDEX('Sounding Table'!A:A,MATCH(G24,'Sounding Table'!A:A,1)))*(INDEX('Sounding Table'!B:B,MATCH(G24,'Sounding Table'!A:A,1)+1)-INDEX('Sounding Table'!B:B,MATCH(G24,'Sounding Table'!A:A,1)))/(INDEX('Sounding Table'!A:A,MATCH(G24,'Sounding Table'!A:A,1)+1)-INDEX('Sounding Table'!A:A,MATCH(G24,'Sounding Table'!A:A,1)))</f>
        <v>13.06</v>
      </c>
      <c r="I24">
        <f t="shared" si="6"/>
        <v>13.09</v>
      </c>
      <c r="J24">
        <f t="shared" si="7"/>
        <v>13090</v>
      </c>
      <c r="K24">
        <f t="shared" si="8"/>
        <v>10.786160000000001</v>
      </c>
      <c r="L24">
        <f t="shared" si="9"/>
        <v>100</v>
      </c>
      <c r="N24" s="4" t="s">
        <v>32</v>
      </c>
      <c r="O24" s="3">
        <v>0</v>
      </c>
      <c r="P24" s="3">
        <v>0.2</v>
      </c>
      <c r="Q24" s="3">
        <v>824</v>
      </c>
      <c r="R24" s="3">
        <v>0.04</v>
      </c>
      <c r="S24" s="3">
        <v>2.0750000000000002</v>
      </c>
    </row>
    <row r="25" spans="1:19" x14ac:dyDescent="0.25">
      <c r="A25">
        <v>15</v>
      </c>
      <c r="B25" s="3">
        <v>0</v>
      </c>
      <c r="C25" s="3">
        <v>0.3</v>
      </c>
      <c r="D25" s="3">
        <v>824</v>
      </c>
      <c r="E25" s="3">
        <v>0.03</v>
      </c>
      <c r="F25" s="3">
        <v>2.0299999999999998</v>
      </c>
      <c r="G25">
        <f t="shared" si="5"/>
        <v>2.0299999999999998</v>
      </c>
      <c r="H25">
        <f>INDEX('Sounding Table'!B:B,MATCH(G25,'Sounding Table'!A:A,1))+(G25-INDEX('Sounding Table'!A:A,MATCH(G25,'Sounding Table'!A:A,1)))*(INDEX('Sounding Table'!B:B,MATCH(G25,'Sounding Table'!A:A,1)+1)-INDEX('Sounding Table'!B:B,MATCH(G25,'Sounding Table'!A:A,1)))/(INDEX('Sounding Table'!A:A,MATCH(G25,'Sounding Table'!A:A,1)+1)-INDEX('Sounding Table'!A:A,MATCH(G25,'Sounding Table'!A:A,1)))</f>
        <v>13.06</v>
      </c>
      <c r="I25">
        <f t="shared" si="6"/>
        <v>13.09</v>
      </c>
      <c r="J25">
        <f t="shared" si="7"/>
        <v>13090</v>
      </c>
      <c r="K25">
        <f t="shared" si="8"/>
        <v>10.786160000000001</v>
      </c>
      <c r="L25">
        <f t="shared" si="9"/>
        <v>100</v>
      </c>
      <c r="N25" s="4" t="s">
        <v>33</v>
      </c>
      <c r="O25" s="3">
        <v>0</v>
      </c>
      <c r="P25" s="3">
        <v>0.2</v>
      </c>
      <c r="Q25" s="3">
        <v>824</v>
      </c>
      <c r="R25" s="3">
        <v>0.04</v>
      </c>
      <c r="S25" s="3">
        <v>2.0750000000000002</v>
      </c>
    </row>
    <row r="26" spans="1:19" x14ac:dyDescent="0.25">
      <c r="A26">
        <v>15.5</v>
      </c>
      <c r="B26" s="3">
        <v>0</v>
      </c>
      <c r="C26" s="3">
        <v>0.3</v>
      </c>
      <c r="D26" s="3">
        <v>824</v>
      </c>
      <c r="E26" s="3">
        <v>0.03</v>
      </c>
      <c r="F26" s="3">
        <v>2.0299999999999998</v>
      </c>
      <c r="G26">
        <f t="shared" ref="G26:G29" si="10">MIN(F26,MAX(0,((A26-4)/16*(C26-B26)+B26)*100000/(D26*9.81)))</f>
        <v>2.0299999999999998</v>
      </c>
      <c r="H26">
        <f>INDEX('Sounding Table'!B:B,MATCH(G26,'Sounding Table'!A:A,1))+(G26-INDEX('Sounding Table'!A:A,MATCH(G26,'Sounding Table'!A:A,1)))*(INDEX('Sounding Table'!B:B,MATCH(G26,'Sounding Table'!A:A,1)+1)-INDEX('Sounding Table'!B:B,MATCH(G26,'Sounding Table'!A:A,1)))/(INDEX('Sounding Table'!A:A,MATCH(G26,'Sounding Table'!A:A,1)+1)-INDEX('Sounding Table'!A:A,MATCH(G26,'Sounding Table'!A:A,1)))</f>
        <v>13.06</v>
      </c>
      <c r="I26">
        <f t="shared" ref="I26:I29" si="11">H26+E26</f>
        <v>13.09</v>
      </c>
      <c r="J26">
        <f t="shared" ref="J26:J29" si="12">I26*1000</f>
        <v>13090</v>
      </c>
      <c r="K26">
        <f t="shared" ref="K26:K29" si="13">I26*D26/1000</f>
        <v>10.786160000000001</v>
      </c>
      <c r="L26">
        <f t="shared" ref="L26:L29" si="14">MIN(100,MAX(0,(G26/F26)*100))</f>
        <v>100</v>
      </c>
      <c r="N26" s="4" t="s">
        <v>34</v>
      </c>
      <c r="O26" s="3">
        <v>0</v>
      </c>
      <c r="P26" s="3">
        <v>0.3</v>
      </c>
      <c r="Q26" s="3">
        <v>1000</v>
      </c>
      <c r="R26" s="3">
        <v>7.0000000000000007E-2</v>
      </c>
      <c r="S26" s="3">
        <v>2.1520000000000001</v>
      </c>
    </row>
    <row r="27" spans="1:19" x14ac:dyDescent="0.25">
      <c r="A27">
        <v>16</v>
      </c>
      <c r="B27" s="3">
        <v>0</v>
      </c>
      <c r="C27" s="3">
        <v>0.3</v>
      </c>
      <c r="D27" s="3">
        <v>824</v>
      </c>
      <c r="E27" s="3">
        <v>0.03</v>
      </c>
      <c r="F27" s="3">
        <v>2.0299999999999998</v>
      </c>
      <c r="G27">
        <f t="shared" si="10"/>
        <v>2.0299999999999998</v>
      </c>
      <c r="H27">
        <f>INDEX('Sounding Table'!B:B,MATCH(G27,'Sounding Table'!A:A,1))+(G27-INDEX('Sounding Table'!A:A,MATCH(G27,'Sounding Table'!A:A,1)))*(INDEX('Sounding Table'!B:B,MATCH(G27,'Sounding Table'!A:A,1)+1)-INDEX('Sounding Table'!B:B,MATCH(G27,'Sounding Table'!A:A,1)))/(INDEX('Sounding Table'!A:A,MATCH(G27,'Sounding Table'!A:A,1)+1)-INDEX('Sounding Table'!A:A,MATCH(G27,'Sounding Table'!A:A,1)))</f>
        <v>13.06</v>
      </c>
      <c r="I27">
        <f t="shared" si="11"/>
        <v>13.09</v>
      </c>
      <c r="J27">
        <f t="shared" si="12"/>
        <v>13090</v>
      </c>
      <c r="K27">
        <f t="shared" si="13"/>
        <v>10.786160000000001</v>
      </c>
      <c r="L27">
        <f t="shared" si="14"/>
        <v>100</v>
      </c>
      <c r="N27" s="4" t="s">
        <v>35</v>
      </c>
      <c r="O27" s="3">
        <v>0</v>
      </c>
      <c r="P27" s="3">
        <v>0.3</v>
      </c>
      <c r="Q27" s="3">
        <v>824</v>
      </c>
      <c r="R27" s="3">
        <v>0.03</v>
      </c>
      <c r="S27" s="3">
        <v>2.0299999999999998</v>
      </c>
    </row>
    <row r="28" spans="1:19" x14ac:dyDescent="0.25">
      <c r="A28">
        <v>16.5</v>
      </c>
      <c r="B28" s="3">
        <v>0</v>
      </c>
      <c r="C28" s="3">
        <v>0.3</v>
      </c>
      <c r="D28" s="3">
        <v>824</v>
      </c>
      <c r="E28" s="3">
        <v>0.03</v>
      </c>
      <c r="F28" s="3">
        <v>2.0299999999999998</v>
      </c>
      <c r="G28">
        <f t="shared" si="10"/>
        <v>2.0299999999999998</v>
      </c>
      <c r="H28">
        <f>INDEX('Sounding Table'!B:B,MATCH(G28,'Sounding Table'!A:A,1))+(G28-INDEX('Sounding Table'!A:A,MATCH(G28,'Sounding Table'!A:A,1)))*(INDEX('Sounding Table'!B:B,MATCH(G28,'Sounding Table'!A:A,1)+1)-INDEX('Sounding Table'!B:B,MATCH(G28,'Sounding Table'!A:A,1)))/(INDEX('Sounding Table'!A:A,MATCH(G28,'Sounding Table'!A:A,1)+1)-INDEX('Sounding Table'!A:A,MATCH(G28,'Sounding Table'!A:A,1)))</f>
        <v>13.06</v>
      </c>
      <c r="I28">
        <f t="shared" si="11"/>
        <v>13.09</v>
      </c>
      <c r="J28">
        <f t="shared" si="12"/>
        <v>13090</v>
      </c>
      <c r="K28">
        <f t="shared" si="13"/>
        <v>10.786160000000001</v>
      </c>
      <c r="L28">
        <f t="shared" si="14"/>
        <v>100</v>
      </c>
      <c r="N28" s="4" t="s">
        <v>36</v>
      </c>
      <c r="O28" s="3">
        <v>0</v>
      </c>
      <c r="P28" s="3">
        <v>0.3</v>
      </c>
      <c r="Q28" s="3">
        <v>824</v>
      </c>
      <c r="R28" s="3">
        <v>0</v>
      </c>
      <c r="S28">
        <v>1.98</v>
      </c>
    </row>
    <row r="29" spans="1:19" x14ac:dyDescent="0.25">
      <c r="A29">
        <v>17</v>
      </c>
      <c r="B29" s="3">
        <v>0</v>
      </c>
      <c r="C29" s="3">
        <v>0.3</v>
      </c>
      <c r="D29" s="3">
        <v>824</v>
      </c>
      <c r="E29" s="3">
        <v>0.03</v>
      </c>
      <c r="F29" s="3">
        <v>2.0299999999999998</v>
      </c>
      <c r="G29">
        <f t="shared" si="10"/>
        <v>2.0299999999999998</v>
      </c>
      <c r="H29">
        <f>INDEX('Sounding Table'!B:B,MATCH(G29,'Sounding Table'!A:A,1))+(G29-INDEX('Sounding Table'!A:A,MATCH(G29,'Sounding Table'!A:A,1)))*(INDEX('Sounding Table'!B:B,MATCH(G29,'Sounding Table'!A:A,1)+1)-INDEX('Sounding Table'!B:B,MATCH(G29,'Sounding Table'!A:A,1)))/(INDEX('Sounding Table'!A:A,MATCH(G29,'Sounding Table'!A:A,1)+1)-INDEX('Sounding Table'!A:A,MATCH(G29,'Sounding Table'!A:A,1)))</f>
        <v>13.06</v>
      </c>
      <c r="I29">
        <f t="shared" si="11"/>
        <v>13.09</v>
      </c>
      <c r="J29">
        <f t="shared" si="12"/>
        <v>13090</v>
      </c>
      <c r="K29">
        <f t="shared" si="13"/>
        <v>10.786160000000001</v>
      </c>
      <c r="L29">
        <f t="shared" si="14"/>
        <v>100</v>
      </c>
      <c r="N29" s="4" t="s">
        <v>37</v>
      </c>
      <c r="O29" s="3">
        <v>0</v>
      </c>
      <c r="P29" s="3">
        <v>0.2</v>
      </c>
      <c r="Q29" s="3">
        <v>824</v>
      </c>
      <c r="R29" s="3">
        <v>0.03</v>
      </c>
      <c r="S29" s="3">
        <v>0.70799999999999996</v>
      </c>
    </row>
    <row r="30" spans="1:19" ht="15" customHeight="1" x14ac:dyDescent="0.25">
      <c r="A30">
        <v>17.5</v>
      </c>
      <c r="B30" s="3">
        <v>0</v>
      </c>
      <c r="C30" s="3">
        <v>0.3</v>
      </c>
      <c r="D30" s="3">
        <v>824</v>
      </c>
      <c r="E30" s="3">
        <v>0.03</v>
      </c>
      <c r="F30" s="3">
        <v>2.0299999999999998</v>
      </c>
      <c r="G30">
        <f t="shared" ref="G30:G35" si="15">MIN(F30,MAX(0,((A30-4)/16*(C30-B30)+B30)*100000/(D30*9.81)))</f>
        <v>2.0299999999999998</v>
      </c>
      <c r="H30">
        <f>INDEX('Sounding Table'!B:B,MATCH(G30,'Sounding Table'!A:A,1))+(G30-INDEX('Sounding Table'!A:A,MATCH(G30,'Sounding Table'!A:A,1)))*(INDEX('Sounding Table'!B:B,MATCH(G30,'Sounding Table'!A:A,1)+1)-INDEX('Sounding Table'!B:B,MATCH(G30,'Sounding Table'!A:A,1)))/(INDEX('Sounding Table'!A:A,MATCH(G30,'Sounding Table'!A:A,1)+1)-INDEX('Sounding Table'!A:A,MATCH(G30,'Sounding Table'!A:A,1)))</f>
        <v>13.06</v>
      </c>
      <c r="I30">
        <f t="shared" ref="I30:I35" si="16">H30+E30</f>
        <v>13.09</v>
      </c>
      <c r="J30">
        <f t="shared" ref="J30:J35" si="17">I30*1000</f>
        <v>13090</v>
      </c>
      <c r="K30">
        <f t="shared" ref="K30:K35" si="18">I30*D30/1000</f>
        <v>10.786160000000001</v>
      </c>
      <c r="L30">
        <f t="shared" ref="L30:L35" si="19">MIN(100,MAX(0,(G30/F30)*100))</f>
        <v>100</v>
      </c>
      <c r="N30" s="4" t="s">
        <v>38</v>
      </c>
      <c r="O30" s="3">
        <v>0</v>
      </c>
      <c r="P30" s="3">
        <v>0.3</v>
      </c>
      <c r="Q30" s="7">
        <v>1025</v>
      </c>
      <c r="R30" s="3">
        <v>0.01</v>
      </c>
      <c r="S30" s="3">
        <v>2.1960000000000002</v>
      </c>
    </row>
    <row r="31" spans="1:19" ht="15" customHeight="1" x14ac:dyDescent="0.25">
      <c r="A31">
        <v>18</v>
      </c>
      <c r="B31" s="3">
        <v>0</v>
      </c>
      <c r="C31" s="3">
        <v>0.3</v>
      </c>
      <c r="D31" s="3">
        <v>824</v>
      </c>
      <c r="E31" s="3">
        <v>0.03</v>
      </c>
      <c r="F31" s="3">
        <v>2.0299999999999998</v>
      </c>
      <c r="G31">
        <f t="shared" si="15"/>
        <v>2.0299999999999998</v>
      </c>
      <c r="H31">
        <f>INDEX('Sounding Table'!B:B,MATCH(G31,'Sounding Table'!A:A,1))+(G31-INDEX('Sounding Table'!A:A,MATCH(G31,'Sounding Table'!A:A,1)))*(INDEX('Sounding Table'!B:B,MATCH(G31,'Sounding Table'!A:A,1)+1)-INDEX('Sounding Table'!B:B,MATCH(G31,'Sounding Table'!A:A,1)))/(INDEX('Sounding Table'!A:A,MATCH(G31,'Sounding Table'!A:A,1)+1)-INDEX('Sounding Table'!A:A,MATCH(G31,'Sounding Table'!A:A,1)))</f>
        <v>13.06</v>
      </c>
      <c r="I31">
        <f t="shared" si="16"/>
        <v>13.09</v>
      </c>
      <c r="J31">
        <f t="shared" si="17"/>
        <v>13090</v>
      </c>
      <c r="K31">
        <f t="shared" si="18"/>
        <v>10.786160000000001</v>
      </c>
      <c r="L31">
        <f t="shared" si="19"/>
        <v>100</v>
      </c>
      <c r="N31" s="4" t="s">
        <v>39</v>
      </c>
      <c r="O31" s="3">
        <v>0</v>
      </c>
      <c r="P31" s="3">
        <v>0.2</v>
      </c>
      <c r="Q31" s="3">
        <v>870</v>
      </c>
      <c r="R31" s="3">
        <v>0.14000000000000001</v>
      </c>
      <c r="S31" s="3">
        <v>0.8</v>
      </c>
    </row>
    <row r="32" spans="1:19" ht="15" customHeight="1" x14ac:dyDescent="0.25">
      <c r="A32">
        <v>18.5</v>
      </c>
      <c r="B32" s="3">
        <v>0</v>
      </c>
      <c r="C32" s="3">
        <v>0.3</v>
      </c>
      <c r="D32" s="3">
        <v>824</v>
      </c>
      <c r="E32" s="3">
        <v>0.03</v>
      </c>
      <c r="F32" s="3">
        <v>2.0299999999999998</v>
      </c>
      <c r="G32">
        <f t="shared" si="15"/>
        <v>2.0299999999999998</v>
      </c>
      <c r="H32">
        <f>INDEX('Sounding Table'!B:B,MATCH(G32,'Sounding Table'!A:A,1))+(G32-INDEX('Sounding Table'!A:A,MATCH(G32,'Sounding Table'!A:A,1)))*(INDEX('Sounding Table'!B:B,MATCH(G32,'Sounding Table'!A:A,1)+1)-INDEX('Sounding Table'!B:B,MATCH(G32,'Sounding Table'!A:A,1)))/(INDEX('Sounding Table'!A:A,MATCH(G32,'Sounding Table'!A:A,1)+1)-INDEX('Sounding Table'!A:A,MATCH(G32,'Sounding Table'!A:A,1)))</f>
        <v>13.06</v>
      </c>
      <c r="I32">
        <f t="shared" si="16"/>
        <v>13.09</v>
      </c>
      <c r="J32">
        <f t="shared" si="17"/>
        <v>13090</v>
      </c>
      <c r="K32">
        <f t="shared" si="18"/>
        <v>10.786160000000001</v>
      </c>
      <c r="L32">
        <f t="shared" si="19"/>
        <v>100</v>
      </c>
      <c r="N32" s="4" t="s">
        <v>40</v>
      </c>
      <c r="O32" s="3">
        <v>0</v>
      </c>
      <c r="P32" s="3">
        <v>0.2</v>
      </c>
      <c r="Q32" s="3">
        <v>824</v>
      </c>
      <c r="R32" s="3">
        <v>0.01</v>
      </c>
      <c r="S32" s="3">
        <v>0.89600000000000002</v>
      </c>
    </row>
    <row r="33" spans="1:22" ht="15" customHeight="1" x14ac:dyDescent="0.25">
      <c r="A33">
        <v>19</v>
      </c>
      <c r="B33" s="3">
        <v>0</v>
      </c>
      <c r="C33" s="3">
        <v>0.3</v>
      </c>
      <c r="D33" s="3">
        <v>824</v>
      </c>
      <c r="E33" s="3">
        <v>0.03</v>
      </c>
      <c r="F33" s="3">
        <v>2.0299999999999998</v>
      </c>
      <c r="G33">
        <f t="shared" si="15"/>
        <v>2.0299999999999998</v>
      </c>
      <c r="H33">
        <f>INDEX('Sounding Table'!B:B,MATCH(G33,'Sounding Table'!A:A,1))+(G33-INDEX('Sounding Table'!A:A,MATCH(G33,'Sounding Table'!A:A,1)))*(INDEX('Sounding Table'!B:B,MATCH(G33,'Sounding Table'!A:A,1)+1)-INDEX('Sounding Table'!B:B,MATCH(G33,'Sounding Table'!A:A,1)))/(INDEX('Sounding Table'!A:A,MATCH(G33,'Sounding Table'!A:A,1)+1)-INDEX('Sounding Table'!A:A,MATCH(G33,'Sounding Table'!A:A,1)))</f>
        <v>13.06</v>
      </c>
      <c r="I33">
        <f t="shared" si="16"/>
        <v>13.09</v>
      </c>
      <c r="J33">
        <f t="shared" si="17"/>
        <v>13090</v>
      </c>
      <c r="K33">
        <f t="shared" si="18"/>
        <v>10.786160000000001</v>
      </c>
      <c r="L33">
        <f t="shared" si="19"/>
        <v>100</v>
      </c>
    </row>
    <row r="34" spans="1:22" ht="15" customHeight="1" x14ac:dyDescent="0.25">
      <c r="A34">
        <v>19.5</v>
      </c>
      <c r="B34" s="3">
        <v>0</v>
      </c>
      <c r="C34" s="3">
        <v>0.3</v>
      </c>
      <c r="D34" s="3">
        <v>824</v>
      </c>
      <c r="E34" s="3">
        <v>0.03</v>
      </c>
      <c r="F34" s="3">
        <v>2.0299999999999998</v>
      </c>
      <c r="G34">
        <f t="shared" si="15"/>
        <v>2.0299999999999998</v>
      </c>
      <c r="H34">
        <f>INDEX('Sounding Table'!B:B,MATCH(G34,'Sounding Table'!A:A,1))+(G34-INDEX('Sounding Table'!A:A,MATCH(G34,'Sounding Table'!A:A,1)))*(INDEX('Sounding Table'!B:B,MATCH(G34,'Sounding Table'!A:A,1)+1)-INDEX('Sounding Table'!B:B,MATCH(G34,'Sounding Table'!A:A,1)))/(INDEX('Sounding Table'!A:A,MATCH(G34,'Sounding Table'!A:A,1)+1)-INDEX('Sounding Table'!A:A,MATCH(G34,'Sounding Table'!A:A,1)))</f>
        <v>13.06</v>
      </c>
      <c r="I34">
        <f t="shared" si="16"/>
        <v>13.09</v>
      </c>
      <c r="J34">
        <f t="shared" si="17"/>
        <v>13090</v>
      </c>
      <c r="K34">
        <f t="shared" si="18"/>
        <v>10.786160000000001</v>
      </c>
      <c r="L34">
        <f t="shared" si="19"/>
        <v>100</v>
      </c>
    </row>
    <row r="35" spans="1:22" x14ac:dyDescent="0.25">
      <c r="A35">
        <v>20</v>
      </c>
      <c r="B35" s="3">
        <v>0</v>
      </c>
      <c r="C35" s="3">
        <v>0.3</v>
      </c>
      <c r="D35" s="3">
        <v>824</v>
      </c>
      <c r="E35" s="3">
        <v>0.03</v>
      </c>
      <c r="F35" s="3">
        <v>2.0299999999999998</v>
      </c>
      <c r="G35">
        <f t="shared" si="15"/>
        <v>2.0299999999999998</v>
      </c>
      <c r="H35">
        <f>INDEX('Sounding Table'!B:B,MATCH(G35,'Sounding Table'!A:A,1))+(G35-INDEX('Sounding Table'!A:A,MATCH(G35,'Sounding Table'!A:A,1)))*(INDEX('Sounding Table'!B:B,MATCH(G35,'Sounding Table'!A:A,1)+1)-INDEX('Sounding Table'!B:B,MATCH(G35,'Sounding Table'!A:A,1)))/(INDEX('Sounding Table'!A:A,MATCH(G35,'Sounding Table'!A:A,1)+1)-INDEX('Sounding Table'!A:A,MATCH(G35,'Sounding Table'!A:A,1)))</f>
        <v>13.06</v>
      </c>
      <c r="I35">
        <f t="shared" si="16"/>
        <v>13.09</v>
      </c>
      <c r="J35">
        <f t="shared" si="17"/>
        <v>13090</v>
      </c>
      <c r="K35">
        <f t="shared" si="18"/>
        <v>10.786160000000001</v>
      </c>
      <c r="L35">
        <f t="shared" si="19"/>
        <v>100</v>
      </c>
    </row>
    <row r="38" spans="1:22" x14ac:dyDescent="0.25">
      <c r="V38" s="5"/>
    </row>
  </sheetData>
  <mergeCells count="3">
    <mergeCell ref="N3:S3"/>
    <mergeCell ref="A1:F1"/>
    <mergeCell ref="G1:L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9"/>
  <sheetViews>
    <sheetView workbookViewId="0">
      <selection activeCell="E15" sqref="E15"/>
    </sheetView>
  </sheetViews>
  <sheetFormatPr defaultRowHeight="15" x14ac:dyDescent="0.25"/>
  <cols>
    <col min="2" max="2" width="11.7109375" bestFit="1" customWidth="1"/>
  </cols>
  <sheetData>
    <row r="1" spans="1:3" x14ac:dyDescent="0.25">
      <c r="A1" s="1" t="s">
        <v>6</v>
      </c>
      <c r="B1" s="1" t="s">
        <v>12</v>
      </c>
      <c r="C1" t="s">
        <v>28</v>
      </c>
    </row>
    <row r="2" spans="1:3" x14ac:dyDescent="0.25">
      <c r="A2">
        <v>0</v>
      </c>
      <c r="B2">
        <v>0.03</v>
      </c>
      <c r="C2">
        <v>0.02</v>
      </c>
    </row>
    <row r="3" spans="1:3" x14ac:dyDescent="0.25">
      <c r="A3">
        <v>5.0000000000000001E-3</v>
      </c>
      <c r="B3">
        <v>0.03</v>
      </c>
      <c r="C3">
        <v>0.03</v>
      </c>
    </row>
    <row r="4" spans="1:3" x14ac:dyDescent="0.25">
      <c r="A4">
        <v>0.01</v>
      </c>
      <c r="B4">
        <v>0.04</v>
      </c>
      <c r="C4">
        <v>0.03</v>
      </c>
    </row>
    <row r="5" spans="1:3" x14ac:dyDescent="0.25">
      <c r="A5">
        <v>1.4999999999999999E-2</v>
      </c>
      <c r="B5">
        <v>0.05</v>
      </c>
      <c r="C5">
        <v>0.04</v>
      </c>
    </row>
    <row r="6" spans="1:3" x14ac:dyDescent="0.25">
      <c r="A6">
        <v>0.02</v>
      </c>
      <c r="B6">
        <v>0.05</v>
      </c>
      <c r="C6">
        <v>0.05</v>
      </c>
    </row>
    <row r="7" spans="1:3" x14ac:dyDescent="0.25">
      <c r="A7">
        <v>2.5000000000000001E-2</v>
      </c>
      <c r="B7">
        <v>0.06</v>
      </c>
      <c r="C7">
        <v>0.05</v>
      </c>
    </row>
    <row r="8" spans="1:3" x14ac:dyDescent="0.25">
      <c r="A8">
        <v>0.03</v>
      </c>
      <c r="B8">
        <v>7.0000000000000007E-2</v>
      </c>
      <c r="C8">
        <v>0.06</v>
      </c>
    </row>
    <row r="9" spans="1:3" x14ac:dyDescent="0.25">
      <c r="A9">
        <v>3.5000000000000003E-2</v>
      </c>
      <c r="B9">
        <v>0.08</v>
      </c>
      <c r="C9">
        <v>7.0000000000000007E-2</v>
      </c>
    </row>
    <row r="10" spans="1:3" x14ac:dyDescent="0.25">
      <c r="A10">
        <v>0.04</v>
      </c>
      <c r="B10">
        <v>0.09</v>
      </c>
      <c r="C10">
        <v>0.08</v>
      </c>
    </row>
    <row r="11" spans="1:3" x14ac:dyDescent="0.25">
      <c r="A11">
        <v>4.4999999999999998E-2</v>
      </c>
      <c r="B11">
        <v>0.1</v>
      </c>
      <c r="C11">
        <v>0.09</v>
      </c>
    </row>
    <row r="12" spans="1:3" x14ac:dyDescent="0.25">
      <c r="A12">
        <v>0.05</v>
      </c>
      <c r="B12">
        <v>0.11</v>
      </c>
      <c r="C12">
        <v>0.1</v>
      </c>
    </row>
    <row r="13" spans="1:3" x14ac:dyDescent="0.25">
      <c r="A13">
        <v>5.5E-2</v>
      </c>
      <c r="B13">
        <v>0.12</v>
      </c>
      <c r="C13">
        <v>0.11</v>
      </c>
    </row>
    <row r="14" spans="1:3" x14ac:dyDescent="0.25">
      <c r="A14">
        <v>0.06</v>
      </c>
      <c r="B14">
        <v>0.14000000000000001</v>
      </c>
      <c r="C14">
        <v>0.12</v>
      </c>
    </row>
    <row r="15" spans="1:3" x14ac:dyDescent="0.25">
      <c r="A15">
        <v>6.5000000000000002E-2</v>
      </c>
      <c r="B15">
        <v>0.15</v>
      </c>
      <c r="C15">
        <v>0.13</v>
      </c>
    </row>
    <row r="16" spans="1:3" x14ac:dyDescent="0.25">
      <c r="A16">
        <v>7.0000000000000007E-2</v>
      </c>
      <c r="B16">
        <v>0.16</v>
      </c>
      <c r="C16">
        <v>0.14000000000000001</v>
      </c>
    </row>
    <row r="17" spans="1:3" x14ac:dyDescent="0.25">
      <c r="A17">
        <v>7.4999999999999997E-2</v>
      </c>
      <c r="B17">
        <v>0.18</v>
      </c>
      <c r="C17">
        <v>0.15</v>
      </c>
    </row>
    <row r="18" spans="1:3" x14ac:dyDescent="0.25">
      <c r="A18">
        <v>0.08</v>
      </c>
      <c r="B18">
        <v>0.19</v>
      </c>
      <c r="C18">
        <v>0.16</v>
      </c>
    </row>
    <row r="19" spans="1:3" x14ac:dyDescent="0.25">
      <c r="A19">
        <v>8.5000000000000006E-2</v>
      </c>
      <c r="B19">
        <v>0.21</v>
      </c>
      <c r="C19">
        <v>0.18</v>
      </c>
    </row>
    <row r="20" spans="1:3" x14ac:dyDescent="0.25">
      <c r="A20">
        <v>0.09</v>
      </c>
      <c r="B20">
        <v>0.22</v>
      </c>
      <c r="C20">
        <v>0.19</v>
      </c>
    </row>
    <row r="21" spans="1:3" x14ac:dyDescent="0.25">
      <c r="A21">
        <v>9.5000000000000001E-2</v>
      </c>
      <c r="B21">
        <v>0.24</v>
      </c>
      <c r="C21">
        <v>0.2</v>
      </c>
    </row>
    <row r="22" spans="1:3" x14ac:dyDescent="0.25">
      <c r="A22">
        <v>0.1</v>
      </c>
      <c r="B22">
        <v>0.26</v>
      </c>
      <c r="C22">
        <v>0.22</v>
      </c>
    </row>
    <row r="23" spans="1:3" x14ac:dyDescent="0.25">
      <c r="A23">
        <v>0.105</v>
      </c>
      <c r="B23">
        <v>0.28000000000000003</v>
      </c>
      <c r="C23">
        <v>0.23</v>
      </c>
    </row>
    <row r="24" spans="1:3" x14ac:dyDescent="0.25">
      <c r="A24">
        <v>0.11</v>
      </c>
      <c r="B24">
        <v>0.28999999999999998</v>
      </c>
      <c r="C24">
        <v>0.25</v>
      </c>
    </row>
    <row r="25" spans="1:3" x14ac:dyDescent="0.25">
      <c r="A25">
        <v>0.115</v>
      </c>
      <c r="B25">
        <v>0.31</v>
      </c>
      <c r="C25">
        <v>0.27</v>
      </c>
    </row>
    <row r="26" spans="1:3" x14ac:dyDescent="0.25">
      <c r="A26">
        <v>0.12</v>
      </c>
      <c r="B26">
        <v>0.33</v>
      </c>
      <c r="C26">
        <v>0.28000000000000003</v>
      </c>
    </row>
    <row r="27" spans="1:3" x14ac:dyDescent="0.25">
      <c r="A27">
        <v>0.125</v>
      </c>
      <c r="B27">
        <v>0.35</v>
      </c>
      <c r="C27">
        <v>0.3</v>
      </c>
    </row>
    <row r="28" spans="1:3" x14ac:dyDescent="0.25">
      <c r="A28">
        <v>0.13</v>
      </c>
      <c r="B28">
        <v>0.37</v>
      </c>
      <c r="C28">
        <v>0.32</v>
      </c>
    </row>
    <row r="29" spans="1:3" x14ac:dyDescent="0.25">
      <c r="A29">
        <v>0.13500000000000001</v>
      </c>
      <c r="B29">
        <v>0.4</v>
      </c>
      <c r="C29">
        <v>0.34</v>
      </c>
    </row>
    <row r="30" spans="1:3" x14ac:dyDescent="0.25">
      <c r="A30">
        <v>0.14000000000000001</v>
      </c>
      <c r="B30">
        <v>0.42</v>
      </c>
      <c r="C30">
        <v>0.35</v>
      </c>
    </row>
    <row r="31" spans="1:3" x14ac:dyDescent="0.25">
      <c r="A31">
        <v>0.14499999999999999</v>
      </c>
      <c r="B31">
        <v>0.44</v>
      </c>
      <c r="C31">
        <v>0.37</v>
      </c>
    </row>
    <row r="32" spans="1:3" x14ac:dyDescent="0.25">
      <c r="A32">
        <v>0.15</v>
      </c>
      <c r="B32">
        <v>0.46</v>
      </c>
      <c r="C32">
        <v>0.39</v>
      </c>
    </row>
    <row r="33" spans="1:3" x14ac:dyDescent="0.25">
      <c r="A33">
        <v>0.155</v>
      </c>
      <c r="B33">
        <v>0.49</v>
      </c>
      <c r="C33">
        <v>0.41</v>
      </c>
    </row>
    <row r="34" spans="1:3" x14ac:dyDescent="0.25">
      <c r="A34">
        <v>0.16</v>
      </c>
      <c r="B34">
        <v>0.51</v>
      </c>
      <c r="C34">
        <v>0.43</v>
      </c>
    </row>
    <row r="35" spans="1:3" x14ac:dyDescent="0.25">
      <c r="A35">
        <v>0.16500000000000001</v>
      </c>
      <c r="B35">
        <v>0.54</v>
      </c>
      <c r="C35">
        <v>0.46</v>
      </c>
    </row>
    <row r="36" spans="1:3" x14ac:dyDescent="0.25">
      <c r="A36">
        <v>0.17</v>
      </c>
      <c r="B36">
        <v>0.56000000000000005</v>
      </c>
      <c r="C36">
        <v>0.48</v>
      </c>
    </row>
    <row r="37" spans="1:3" x14ac:dyDescent="0.25">
      <c r="A37">
        <v>0.17499999999999999</v>
      </c>
      <c r="B37">
        <v>0.59</v>
      </c>
      <c r="C37">
        <v>0.5</v>
      </c>
    </row>
    <row r="38" spans="1:3" x14ac:dyDescent="0.25">
      <c r="A38">
        <v>0.18</v>
      </c>
      <c r="B38">
        <v>0.61</v>
      </c>
      <c r="C38">
        <v>0.52</v>
      </c>
    </row>
    <row r="39" spans="1:3" x14ac:dyDescent="0.25">
      <c r="A39">
        <v>0.185</v>
      </c>
      <c r="B39">
        <v>0.64</v>
      </c>
      <c r="C39">
        <v>0.55000000000000004</v>
      </c>
    </row>
    <row r="40" spans="1:3" x14ac:dyDescent="0.25">
      <c r="A40">
        <v>0.19</v>
      </c>
      <c r="B40">
        <v>0.67</v>
      </c>
      <c r="C40">
        <v>0.56999999999999995</v>
      </c>
    </row>
    <row r="41" spans="1:3" x14ac:dyDescent="0.25">
      <c r="A41">
        <v>0.19500000000000001</v>
      </c>
      <c r="B41">
        <v>0.7</v>
      </c>
      <c r="C41">
        <v>0.59</v>
      </c>
    </row>
    <row r="42" spans="1:3" x14ac:dyDescent="0.25">
      <c r="A42">
        <v>0.2</v>
      </c>
      <c r="B42">
        <v>0.73</v>
      </c>
      <c r="C42">
        <v>0.62</v>
      </c>
    </row>
    <row r="43" spans="1:3" x14ac:dyDescent="0.25">
      <c r="A43">
        <v>0.20499999999999999</v>
      </c>
      <c r="B43">
        <v>0.76</v>
      </c>
      <c r="C43">
        <v>0.64</v>
      </c>
    </row>
    <row r="44" spans="1:3" x14ac:dyDescent="0.25">
      <c r="A44">
        <v>0.21</v>
      </c>
      <c r="B44">
        <v>0.79</v>
      </c>
      <c r="C44">
        <v>0.67</v>
      </c>
    </row>
    <row r="45" spans="1:3" x14ac:dyDescent="0.25">
      <c r="A45">
        <v>0.215</v>
      </c>
      <c r="B45">
        <v>0.82</v>
      </c>
      <c r="C45">
        <v>0.7</v>
      </c>
    </row>
    <row r="46" spans="1:3" x14ac:dyDescent="0.25">
      <c r="A46">
        <v>0.22</v>
      </c>
      <c r="B46">
        <v>0.85</v>
      </c>
      <c r="C46">
        <v>0.72</v>
      </c>
    </row>
    <row r="47" spans="1:3" x14ac:dyDescent="0.25">
      <c r="A47">
        <v>0.22500000000000001</v>
      </c>
      <c r="B47">
        <v>0.88</v>
      </c>
      <c r="C47">
        <v>0.75</v>
      </c>
    </row>
    <row r="48" spans="1:3" x14ac:dyDescent="0.25">
      <c r="A48">
        <v>0.23</v>
      </c>
      <c r="B48">
        <v>0.92</v>
      </c>
      <c r="C48">
        <v>0.78</v>
      </c>
    </row>
    <row r="49" spans="1:3" x14ac:dyDescent="0.25">
      <c r="A49">
        <v>0.23499999999999999</v>
      </c>
      <c r="B49">
        <v>0.95</v>
      </c>
      <c r="C49">
        <v>0.81</v>
      </c>
    </row>
    <row r="50" spans="1:3" x14ac:dyDescent="0.25">
      <c r="A50">
        <v>0.24</v>
      </c>
      <c r="B50">
        <v>0.98</v>
      </c>
      <c r="C50">
        <v>0.83</v>
      </c>
    </row>
    <row r="51" spans="1:3" x14ac:dyDescent="0.25">
      <c r="A51">
        <v>0.245</v>
      </c>
      <c r="B51">
        <v>1.01</v>
      </c>
      <c r="C51">
        <v>0.86</v>
      </c>
    </row>
    <row r="52" spans="1:3" x14ac:dyDescent="0.25">
      <c r="A52">
        <v>0.25</v>
      </c>
      <c r="B52">
        <v>1.05</v>
      </c>
      <c r="C52">
        <v>0.89</v>
      </c>
    </row>
    <row r="53" spans="1:3" x14ac:dyDescent="0.25">
      <c r="A53">
        <v>0.255</v>
      </c>
      <c r="B53">
        <v>1.08</v>
      </c>
      <c r="C53">
        <v>0.92</v>
      </c>
    </row>
    <row r="54" spans="1:3" x14ac:dyDescent="0.25">
      <c r="A54">
        <v>0.26</v>
      </c>
      <c r="B54">
        <v>1.1200000000000001</v>
      </c>
      <c r="C54">
        <v>0.95</v>
      </c>
    </row>
    <row r="55" spans="1:3" x14ac:dyDescent="0.25">
      <c r="A55">
        <v>0.26500000000000001</v>
      </c>
      <c r="B55">
        <v>1.1499999999999999</v>
      </c>
      <c r="C55">
        <v>0.98</v>
      </c>
    </row>
    <row r="56" spans="1:3" x14ac:dyDescent="0.25">
      <c r="A56">
        <v>0.27</v>
      </c>
      <c r="B56">
        <v>1.18</v>
      </c>
      <c r="C56">
        <v>1.01</v>
      </c>
    </row>
    <row r="57" spans="1:3" x14ac:dyDescent="0.25">
      <c r="A57">
        <v>0.27500000000000002</v>
      </c>
      <c r="B57">
        <v>1.22</v>
      </c>
      <c r="C57">
        <v>1.03</v>
      </c>
    </row>
    <row r="58" spans="1:3" x14ac:dyDescent="0.25">
      <c r="A58">
        <v>0.28000000000000003</v>
      </c>
      <c r="B58">
        <v>1.25</v>
      </c>
      <c r="C58">
        <v>1.06</v>
      </c>
    </row>
    <row r="59" spans="1:3" x14ac:dyDescent="0.25">
      <c r="A59">
        <v>0.28499999999999998</v>
      </c>
      <c r="B59">
        <v>1.28</v>
      </c>
      <c r="C59">
        <v>1.0900000000000001</v>
      </c>
    </row>
    <row r="60" spans="1:3" x14ac:dyDescent="0.25">
      <c r="A60">
        <v>0.28999999999999998</v>
      </c>
      <c r="B60">
        <v>1.32</v>
      </c>
      <c r="C60">
        <v>1.1200000000000001</v>
      </c>
    </row>
    <row r="61" spans="1:3" x14ac:dyDescent="0.25">
      <c r="A61">
        <v>0.29499999999999998</v>
      </c>
      <c r="B61">
        <v>1.35</v>
      </c>
      <c r="C61">
        <v>1.1499999999999999</v>
      </c>
    </row>
    <row r="62" spans="1:3" x14ac:dyDescent="0.25">
      <c r="A62">
        <v>0.3</v>
      </c>
      <c r="B62">
        <v>1.39</v>
      </c>
      <c r="C62">
        <v>1.18</v>
      </c>
    </row>
    <row r="63" spans="1:3" x14ac:dyDescent="0.25">
      <c r="A63">
        <v>0.30499999999999999</v>
      </c>
      <c r="B63">
        <v>1.42</v>
      </c>
      <c r="C63">
        <v>1.21</v>
      </c>
    </row>
    <row r="64" spans="1:3" x14ac:dyDescent="0.25">
      <c r="A64">
        <v>0.31</v>
      </c>
      <c r="B64">
        <v>1.45</v>
      </c>
      <c r="C64">
        <v>1.24</v>
      </c>
    </row>
    <row r="65" spans="1:3" x14ac:dyDescent="0.25">
      <c r="A65">
        <v>0.315</v>
      </c>
      <c r="B65">
        <v>1.49</v>
      </c>
      <c r="C65">
        <v>1.26</v>
      </c>
    </row>
    <row r="66" spans="1:3" x14ac:dyDescent="0.25">
      <c r="A66">
        <v>0.32</v>
      </c>
      <c r="B66">
        <v>1.52</v>
      </c>
      <c r="C66">
        <v>1.29</v>
      </c>
    </row>
    <row r="67" spans="1:3" x14ac:dyDescent="0.25">
      <c r="A67">
        <v>0.32500000000000001</v>
      </c>
      <c r="B67">
        <v>1.55</v>
      </c>
      <c r="C67">
        <v>1.32</v>
      </c>
    </row>
    <row r="68" spans="1:3" x14ac:dyDescent="0.25">
      <c r="A68">
        <v>0.33</v>
      </c>
      <c r="B68">
        <v>1.59</v>
      </c>
      <c r="C68">
        <v>1.35</v>
      </c>
    </row>
    <row r="69" spans="1:3" x14ac:dyDescent="0.25">
      <c r="A69">
        <v>0.33500000000000002</v>
      </c>
      <c r="B69">
        <v>1.62</v>
      </c>
      <c r="C69">
        <v>1.38</v>
      </c>
    </row>
    <row r="70" spans="1:3" x14ac:dyDescent="0.25">
      <c r="A70">
        <v>0.34</v>
      </c>
      <c r="B70">
        <v>1.66</v>
      </c>
      <c r="C70">
        <v>1.41</v>
      </c>
    </row>
    <row r="71" spans="1:3" x14ac:dyDescent="0.25">
      <c r="A71">
        <v>0.34499999999999997</v>
      </c>
      <c r="B71">
        <v>1.69</v>
      </c>
      <c r="C71">
        <v>1.44</v>
      </c>
    </row>
    <row r="72" spans="1:3" x14ac:dyDescent="0.25">
      <c r="A72">
        <v>0.35</v>
      </c>
      <c r="B72">
        <v>1.72</v>
      </c>
      <c r="C72">
        <v>1.46</v>
      </c>
    </row>
    <row r="73" spans="1:3" x14ac:dyDescent="0.25">
      <c r="A73">
        <v>0.35499999999999998</v>
      </c>
      <c r="B73">
        <v>1.76</v>
      </c>
      <c r="C73">
        <v>1.49</v>
      </c>
    </row>
    <row r="74" spans="1:3" x14ac:dyDescent="0.25">
      <c r="A74">
        <v>0.36</v>
      </c>
      <c r="B74">
        <v>1.79</v>
      </c>
      <c r="C74">
        <v>1.52</v>
      </c>
    </row>
    <row r="75" spans="1:3" x14ac:dyDescent="0.25">
      <c r="A75">
        <v>0.36499999999999999</v>
      </c>
      <c r="B75">
        <v>1.82</v>
      </c>
      <c r="C75">
        <v>1.55</v>
      </c>
    </row>
    <row r="76" spans="1:3" x14ac:dyDescent="0.25">
      <c r="A76">
        <v>0.37</v>
      </c>
      <c r="B76">
        <v>1.86</v>
      </c>
      <c r="C76">
        <v>1.58</v>
      </c>
    </row>
    <row r="77" spans="1:3" x14ac:dyDescent="0.25">
      <c r="A77">
        <v>0.375</v>
      </c>
      <c r="B77">
        <v>1.89</v>
      </c>
      <c r="C77">
        <v>1.61</v>
      </c>
    </row>
    <row r="78" spans="1:3" x14ac:dyDescent="0.25">
      <c r="A78">
        <v>0.38</v>
      </c>
      <c r="B78">
        <v>1.93</v>
      </c>
      <c r="C78">
        <v>1.64</v>
      </c>
    </row>
    <row r="79" spans="1:3" x14ac:dyDescent="0.25">
      <c r="A79">
        <v>0.38500000000000001</v>
      </c>
      <c r="B79">
        <v>1.96</v>
      </c>
      <c r="C79">
        <v>1.67</v>
      </c>
    </row>
    <row r="80" spans="1:3" x14ac:dyDescent="0.25">
      <c r="A80">
        <v>0.39</v>
      </c>
      <c r="B80">
        <v>1.99</v>
      </c>
      <c r="C80">
        <v>1.69</v>
      </c>
    </row>
    <row r="81" spans="1:3" x14ac:dyDescent="0.25">
      <c r="A81">
        <v>0.39500000000000002</v>
      </c>
      <c r="B81">
        <v>2.0299999999999998</v>
      </c>
      <c r="C81">
        <v>1.72</v>
      </c>
    </row>
    <row r="82" spans="1:3" x14ac:dyDescent="0.25">
      <c r="A82">
        <v>0.4</v>
      </c>
      <c r="B82">
        <v>2.06</v>
      </c>
      <c r="C82">
        <v>1.75</v>
      </c>
    </row>
    <row r="83" spans="1:3" x14ac:dyDescent="0.25">
      <c r="A83">
        <v>0.40500000000000003</v>
      </c>
      <c r="B83">
        <v>2.09</v>
      </c>
      <c r="C83">
        <v>1.78</v>
      </c>
    </row>
    <row r="84" spans="1:3" x14ac:dyDescent="0.25">
      <c r="A84">
        <v>0.41</v>
      </c>
      <c r="B84">
        <v>2.13</v>
      </c>
      <c r="C84">
        <v>1.81</v>
      </c>
    </row>
    <row r="85" spans="1:3" x14ac:dyDescent="0.25">
      <c r="A85">
        <v>0.41499999999999998</v>
      </c>
      <c r="B85">
        <v>2.16</v>
      </c>
      <c r="C85">
        <v>1.84</v>
      </c>
    </row>
    <row r="86" spans="1:3" x14ac:dyDescent="0.25">
      <c r="A86">
        <v>0.42</v>
      </c>
      <c r="B86">
        <v>2.2000000000000002</v>
      </c>
      <c r="C86">
        <v>1.87</v>
      </c>
    </row>
    <row r="87" spans="1:3" x14ac:dyDescent="0.25">
      <c r="A87">
        <v>0.42499999999999999</v>
      </c>
      <c r="B87">
        <v>2.23</v>
      </c>
      <c r="C87">
        <v>1.89</v>
      </c>
    </row>
    <row r="88" spans="1:3" x14ac:dyDescent="0.25">
      <c r="A88">
        <v>0.43</v>
      </c>
      <c r="B88">
        <v>2.2599999999999998</v>
      </c>
      <c r="C88">
        <v>1.92</v>
      </c>
    </row>
    <row r="89" spans="1:3" x14ac:dyDescent="0.25">
      <c r="A89">
        <v>0.435</v>
      </c>
      <c r="B89">
        <v>2.2999999999999998</v>
      </c>
      <c r="C89">
        <v>1.95</v>
      </c>
    </row>
    <row r="90" spans="1:3" x14ac:dyDescent="0.25">
      <c r="A90">
        <v>0.44</v>
      </c>
      <c r="B90">
        <v>2.33</v>
      </c>
      <c r="C90">
        <v>1.98</v>
      </c>
    </row>
    <row r="91" spans="1:3" x14ac:dyDescent="0.25">
      <c r="A91">
        <v>0.44500000000000001</v>
      </c>
      <c r="B91">
        <v>2.36</v>
      </c>
      <c r="C91">
        <v>2.0099999999999998</v>
      </c>
    </row>
    <row r="92" spans="1:3" x14ac:dyDescent="0.25">
      <c r="A92">
        <v>0.45</v>
      </c>
      <c r="B92">
        <v>2.4</v>
      </c>
      <c r="C92">
        <v>2.04</v>
      </c>
    </row>
    <row r="93" spans="1:3" x14ac:dyDescent="0.25">
      <c r="A93">
        <v>0.45500000000000002</v>
      </c>
      <c r="B93">
        <v>2.4300000000000002</v>
      </c>
      <c r="C93">
        <v>2.0699999999999998</v>
      </c>
    </row>
    <row r="94" spans="1:3" x14ac:dyDescent="0.25">
      <c r="A94">
        <v>0.46</v>
      </c>
      <c r="B94">
        <v>2.4700000000000002</v>
      </c>
      <c r="C94">
        <v>2.1</v>
      </c>
    </row>
    <row r="95" spans="1:3" x14ac:dyDescent="0.25">
      <c r="A95">
        <v>0.46500000000000002</v>
      </c>
      <c r="B95">
        <v>2.5</v>
      </c>
      <c r="C95">
        <v>2.12</v>
      </c>
    </row>
    <row r="96" spans="1:3" x14ac:dyDescent="0.25">
      <c r="A96">
        <v>0.47</v>
      </c>
      <c r="B96">
        <v>2.5299999999999998</v>
      </c>
      <c r="C96">
        <v>2.15</v>
      </c>
    </row>
    <row r="97" spans="1:3" x14ac:dyDescent="0.25">
      <c r="A97">
        <v>0.47499999999999998</v>
      </c>
      <c r="B97">
        <v>2.57</v>
      </c>
      <c r="C97">
        <v>2.1800000000000002</v>
      </c>
    </row>
    <row r="98" spans="1:3" x14ac:dyDescent="0.25">
      <c r="A98">
        <v>0.48</v>
      </c>
      <c r="B98">
        <v>2.6</v>
      </c>
      <c r="C98">
        <v>2.21</v>
      </c>
    </row>
    <row r="99" spans="1:3" x14ac:dyDescent="0.25">
      <c r="A99">
        <v>0.48499999999999999</v>
      </c>
      <c r="B99">
        <v>2.63</v>
      </c>
      <c r="C99">
        <v>2.2400000000000002</v>
      </c>
    </row>
    <row r="100" spans="1:3" x14ac:dyDescent="0.25">
      <c r="A100">
        <v>0.49</v>
      </c>
      <c r="B100">
        <v>2.67</v>
      </c>
      <c r="C100">
        <v>2.27</v>
      </c>
    </row>
    <row r="101" spans="1:3" x14ac:dyDescent="0.25">
      <c r="A101">
        <v>0.495</v>
      </c>
      <c r="B101">
        <v>2.7</v>
      </c>
      <c r="C101">
        <v>2.2999999999999998</v>
      </c>
    </row>
    <row r="102" spans="1:3" x14ac:dyDescent="0.25">
      <c r="A102">
        <v>0.5</v>
      </c>
      <c r="B102">
        <v>2.74</v>
      </c>
      <c r="C102">
        <v>2.33</v>
      </c>
    </row>
    <row r="103" spans="1:3" x14ac:dyDescent="0.25">
      <c r="A103">
        <v>0.505</v>
      </c>
      <c r="B103">
        <v>2.77</v>
      </c>
      <c r="C103">
        <v>2.35</v>
      </c>
    </row>
    <row r="104" spans="1:3" x14ac:dyDescent="0.25">
      <c r="A104">
        <v>0.51</v>
      </c>
      <c r="B104">
        <v>2.8</v>
      </c>
      <c r="C104">
        <v>2.38</v>
      </c>
    </row>
    <row r="105" spans="1:3" x14ac:dyDescent="0.25">
      <c r="A105">
        <v>0.51500000000000001</v>
      </c>
      <c r="B105">
        <v>2.84</v>
      </c>
      <c r="C105">
        <v>2.41</v>
      </c>
    </row>
    <row r="106" spans="1:3" x14ac:dyDescent="0.25">
      <c r="A106">
        <v>0.52</v>
      </c>
      <c r="B106">
        <v>2.87</v>
      </c>
      <c r="C106">
        <v>2.44</v>
      </c>
    </row>
    <row r="107" spans="1:3" x14ac:dyDescent="0.25">
      <c r="A107">
        <v>0.52500000000000002</v>
      </c>
      <c r="B107">
        <v>2.9</v>
      </c>
      <c r="C107">
        <v>2.4700000000000002</v>
      </c>
    </row>
    <row r="108" spans="1:3" x14ac:dyDescent="0.25">
      <c r="A108">
        <v>0.53</v>
      </c>
      <c r="B108">
        <v>2.94</v>
      </c>
      <c r="C108">
        <v>2.5</v>
      </c>
    </row>
    <row r="109" spans="1:3" x14ac:dyDescent="0.25">
      <c r="A109">
        <v>0.53500000000000003</v>
      </c>
      <c r="B109">
        <v>2.97</v>
      </c>
      <c r="C109">
        <v>2.5299999999999998</v>
      </c>
    </row>
    <row r="110" spans="1:3" x14ac:dyDescent="0.25">
      <c r="A110">
        <v>0.54</v>
      </c>
      <c r="B110">
        <v>3.01</v>
      </c>
      <c r="C110">
        <v>2.5499999999999998</v>
      </c>
    </row>
    <row r="111" spans="1:3" x14ac:dyDescent="0.25">
      <c r="A111">
        <v>0.54500000000000004</v>
      </c>
      <c r="B111">
        <v>3.04</v>
      </c>
      <c r="C111">
        <v>2.58</v>
      </c>
    </row>
    <row r="112" spans="1:3" x14ac:dyDescent="0.25">
      <c r="A112">
        <v>0.55000000000000004</v>
      </c>
      <c r="B112">
        <v>3.07</v>
      </c>
      <c r="C112">
        <v>2.61</v>
      </c>
    </row>
    <row r="113" spans="1:3" x14ac:dyDescent="0.25">
      <c r="A113">
        <v>0.55500000000000005</v>
      </c>
      <c r="B113">
        <v>3.11</v>
      </c>
      <c r="C113">
        <v>2.64</v>
      </c>
    </row>
    <row r="114" spans="1:3" x14ac:dyDescent="0.25">
      <c r="A114">
        <v>0.56000000000000005</v>
      </c>
      <c r="B114">
        <v>3.14</v>
      </c>
      <c r="C114">
        <v>2.67</v>
      </c>
    </row>
    <row r="115" spans="1:3" x14ac:dyDescent="0.25">
      <c r="A115">
        <v>0.56499999999999995</v>
      </c>
      <c r="B115">
        <v>3.17</v>
      </c>
      <c r="C115">
        <v>2.7</v>
      </c>
    </row>
    <row r="116" spans="1:3" x14ac:dyDescent="0.25">
      <c r="A116">
        <v>0.56999999999999995</v>
      </c>
      <c r="B116">
        <v>3.21</v>
      </c>
      <c r="C116">
        <v>2.73</v>
      </c>
    </row>
    <row r="117" spans="1:3" x14ac:dyDescent="0.25">
      <c r="A117">
        <v>0.57499999999999996</v>
      </c>
      <c r="B117">
        <v>3.24</v>
      </c>
      <c r="C117">
        <v>2.76</v>
      </c>
    </row>
    <row r="118" spans="1:3" x14ac:dyDescent="0.25">
      <c r="A118">
        <v>0.57999999999999996</v>
      </c>
      <c r="B118">
        <v>3.28</v>
      </c>
      <c r="C118">
        <v>2.78</v>
      </c>
    </row>
    <row r="119" spans="1:3" x14ac:dyDescent="0.25">
      <c r="A119">
        <v>0.58499999999999996</v>
      </c>
      <c r="B119">
        <v>3.31</v>
      </c>
      <c r="C119">
        <v>2.81</v>
      </c>
    </row>
    <row r="120" spans="1:3" x14ac:dyDescent="0.25">
      <c r="A120">
        <v>0.59</v>
      </c>
      <c r="B120">
        <v>3.34</v>
      </c>
      <c r="C120">
        <v>2.84</v>
      </c>
    </row>
    <row r="121" spans="1:3" x14ac:dyDescent="0.25">
      <c r="A121">
        <v>0.59499999999999997</v>
      </c>
      <c r="B121">
        <v>3.38</v>
      </c>
      <c r="C121">
        <v>2.87</v>
      </c>
    </row>
    <row r="122" spans="1:3" x14ac:dyDescent="0.25">
      <c r="A122">
        <v>0.6</v>
      </c>
      <c r="B122">
        <v>3.41</v>
      </c>
      <c r="C122">
        <v>2.9</v>
      </c>
    </row>
    <row r="123" spans="1:3" x14ac:dyDescent="0.25">
      <c r="A123">
        <v>0.60499999999999998</v>
      </c>
      <c r="B123">
        <v>3.44</v>
      </c>
      <c r="C123">
        <v>2.93</v>
      </c>
    </row>
    <row r="124" spans="1:3" x14ac:dyDescent="0.25">
      <c r="A124">
        <v>0.61</v>
      </c>
      <c r="B124">
        <v>3.48</v>
      </c>
      <c r="C124">
        <v>2.96</v>
      </c>
    </row>
    <row r="125" spans="1:3" x14ac:dyDescent="0.25">
      <c r="A125">
        <v>0.61499999999999999</v>
      </c>
      <c r="B125">
        <v>3.51</v>
      </c>
      <c r="C125">
        <v>2.99</v>
      </c>
    </row>
    <row r="126" spans="1:3" x14ac:dyDescent="0.25">
      <c r="A126">
        <v>0.62</v>
      </c>
      <c r="B126">
        <v>3.55</v>
      </c>
      <c r="C126">
        <v>3.01</v>
      </c>
    </row>
    <row r="127" spans="1:3" x14ac:dyDescent="0.25">
      <c r="A127">
        <v>0.625</v>
      </c>
      <c r="B127">
        <v>3.58</v>
      </c>
      <c r="C127">
        <v>3.04</v>
      </c>
    </row>
    <row r="128" spans="1:3" x14ac:dyDescent="0.25">
      <c r="A128">
        <v>0.63</v>
      </c>
      <c r="B128">
        <v>3.61</v>
      </c>
      <c r="C128">
        <v>3.07</v>
      </c>
    </row>
    <row r="129" spans="1:3" x14ac:dyDescent="0.25">
      <c r="A129">
        <v>0.63500000000000001</v>
      </c>
      <c r="B129">
        <v>3.65</v>
      </c>
      <c r="C129">
        <v>3.1</v>
      </c>
    </row>
    <row r="130" spans="1:3" x14ac:dyDescent="0.25">
      <c r="A130">
        <v>0.64</v>
      </c>
      <c r="B130">
        <v>3.68</v>
      </c>
      <c r="C130">
        <v>3.13</v>
      </c>
    </row>
    <row r="131" spans="1:3" x14ac:dyDescent="0.25">
      <c r="A131">
        <v>0.64500000000000002</v>
      </c>
      <c r="B131">
        <v>3.71</v>
      </c>
      <c r="C131">
        <v>3.16</v>
      </c>
    </row>
    <row r="132" spans="1:3" x14ac:dyDescent="0.25">
      <c r="A132">
        <v>0.65</v>
      </c>
      <c r="B132">
        <v>3.75</v>
      </c>
      <c r="C132">
        <v>3.19</v>
      </c>
    </row>
    <row r="133" spans="1:3" x14ac:dyDescent="0.25">
      <c r="A133">
        <v>0.65500000000000003</v>
      </c>
      <c r="B133">
        <v>3.78</v>
      </c>
      <c r="C133">
        <v>3.21</v>
      </c>
    </row>
    <row r="134" spans="1:3" x14ac:dyDescent="0.25">
      <c r="A134">
        <v>0.66</v>
      </c>
      <c r="B134">
        <v>3.82</v>
      </c>
      <c r="C134">
        <v>3.24</v>
      </c>
    </row>
    <row r="135" spans="1:3" x14ac:dyDescent="0.25">
      <c r="A135">
        <v>0.66500000000000004</v>
      </c>
      <c r="B135">
        <v>3.85</v>
      </c>
      <c r="C135">
        <v>3.27</v>
      </c>
    </row>
    <row r="136" spans="1:3" x14ac:dyDescent="0.25">
      <c r="A136">
        <v>0.67</v>
      </c>
      <c r="B136">
        <v>3.88</v>
      </c>
      <c r="C136">
        <v>3.3</v>
      </c>
    </row>
    <row r="137" spans="1:3" x14ac:dyDescent="0.25">
      <c r="A137">
        <v>0.67500000000000004</v>
      </c>
      <c r="B137">
        <v>3.92</v>
      </c>
      <c r="C137">
        <v>3.33</v>
      </c>
    </row>
    <row r="138" spans="1:3" x14ac:dyDescent="0.25">
      <c r="A138">
        <v>0.68</v>
      </c>
      <c r="B138">
        <v>3.95</v>
      </c>
      <c r="C138">
        <v>3.36</v>
      </c>
    </row>
    <row r="139" spans="1:3" x14ac:dyDescent="0.25">
      <c r="A139">
        <v>0.68500000000000005</v>
      </c>
      <c r="B139">
        <v>3.98</v>
      </c>
      <c r="C139">
        <v>3.39</v>
      </c>
    </row>
    <row r="140" spans="1:3" x14ac:dyDescent="0.25">
      <c r="A140">
        <v>0.69</v>
      </c>
      <c r="B140">
        <v>4.0199999999999996</v>
      </c>
      <c r="C140">
        <v>3.42</v>
      </c>
    </row>
    <row r="141" spans="1:3" x14ac:dyDescent="0.25">
      <c r="A141">
        <v>0.69499999999999995</v>
      </c>
      <c r="B141">
        <v>4.05</v>
      </c>
      <c r="C141">
        <v>3.44</v>
      </c>
    </row>
    <row r="142" spans="1:3" x14ac:dyDescent="0.25">
      <c r="A142">
        <v>0.7</v>
      </c>
      <c r="B142">
        <v>4.09</v>
      </c>
      <c r="C142">
        <v>3.47</v>
      </c>
    </row>
    <row r="143" spans="1:3" x14ac:dyDescent="0.25">
      <c r="A143">
        <v>0.70499999999999996</v>
      </c>
      <c r="B143">
        <v>4.12</v>
      </c>
      <c r="C143">
        <v>3.5</v>
      </c>
    </row>
    <row r="144" spans="1:3" x14ac:dyDescent="0.25">
      <c r="A144">
        <v>0.71</v>
      </c>
      <c r="B144">
        <v>4.1500000000000004</v>
      </c>
      <c r="C144">
        <v>3.53</v>
      </c>
    </row>
    <row r="145" spans="1:3" x14ac:dyDescent="0.25">
      <c r="A145">
        <v>0.71499999999999997</v>
      </c>
      <c r="B145">
        <v>4.1900000000000004</v>
      </c>
      <c r="C145">
        <v>3.56</v>
      </c>
    </row>
    <row r="146" spans="1:3" x14ac:dyDescent="0.25">
      <c r="A146">
        <v>0.72</v>
      </c>
      <c r="B146">
        <v>4.22</v>
      </c>
      <c r="C146">
        <v>3.59</v>
      </c>
    </row>
    <row r="147" spans="1:3" x14ac:dyDescent="0.25">
      <c r="A147">
        <v>0.72499999999999998</v>
      </c>
      <c r="B147">
        <v>4.25</v>
      </c>
      <c r="C147">
        <v>3.62</v>
      </c>
    </row>
    <row r="148" spans="1:3" x14ac:dyDescent="0.25">
      <c r="A148">
        <v>0.73</v>
      </c>
      <c r="B148">
        <v>4.29</v>
      </c>
      <c r="C148">
        <v>3.64</v>
      </c>
    </row>
    <row r="149" spans="1:3" x14ac:dyDescent="0.25">
      <c r="A149">
        <v>0.73499999999999999</v>
      </c>
      <c r="B149">
        <v>4.32</v>
      </c>
      <c r="C149">
        <v>3.67</v>
      </c>
    </row>
    <row r="150" spans="1:3" x14ac:dyDescent="0.25">
      <c r="A150">
        <v>0.74</v>
      </c>
      <c r="B150">
        <v>4.3600000000000003</v>
      </c>
      <c r="C150">
        <v>3.7</v>
      </c>
    </row>
    <row r="151" spans="1:3" x14ac:dyDescent="0.25">
      <c r="A151">
        <v>0.745</v>
      </c>
      <c r="B151">
        <v>4.3899999999999997</v>
      </c>
      <c r="C151">
        <v>3.73</v>
      </c>
    </row>
    <row r="152" spans="1:3" x14ac:dyDescent="0.25">
      <c r="A152">
        <v>0.75</v>
      </c>
      <c r="B152">
        <v>4.42</v>
      </c>
      <c r="C152">
        <v>3.76</v>
      </c>
    </row>
    <row r="153" spans="1:3" x14ac:dyDescent="0.25">
      <c r="A153">
        <v>0.755</v>
      </c>
      <c r="B153">
        <v>4.46</v>
      </c>
      <c r="C153">
        <v>3.79</v>
      </c>
    </row>
    <row r="154" spans="1:3" x14ac:dyDescent="0.25">
      <c r="A154">
        <v>0.76</v>
      </c>
      <c r="B154">
        <v>4.49</v>
      </c>
      <c r="C154">
        <v>3.82</v>
      </c>
    </row>
    <row r="155" spans="1:3" x14ac:dyDescent="0.25">
      <c r="A155">
        <v>0.76500000000000001</v>
      </c>
      <c r="B155">
        <v>4.5199999999999996</v>
      </c>
      <c r="C155">
        <v>3.85</v>
      </c>
    </row>
    <row r="156" spans="1:3" x14ac:dyDescent="0.25">
      <c r="A156">
        <v>0.77</v>
      </c>
      <c r="B156">
        <v>4.5599999999999996</v>
      </c>
      <c r="C156">
        <v>3.87</v>
      </c>
    </row>
    <row r="157" spans="1:3" x14ac:dyDescent="0.25">
      <c r="A157">
        <v>0.77500000000000002</v>
      </c>
      <c r="B157">
        <v>4.59</v>
      </c>
      <c r="C157">
        <v>3.9</v>
      </c>
    </row>
    <row r="158" spans="1:3" x14ac:dyDescent="0.25">
      <c r="A158">
        <v>0.78</v>
      </c>
      <c r="B158">
        <v>4.63</v>
      </c>
      <c r="C158">
        <v>3.93</v>
      </c>
    </row>
    <row r="159" spans="1:3" x14ac:dyDescent="0.25">
      <c r="A159">
        <v>0.78500000000000003</v>
      </c>
      <c r="B159">
        <v>4.66</v>
      </c>
      <c r="C159">
        <v>3.96</v>
      </c>
    </row>
    <row r="160" spans="1:3" x14ac:dyDescent="0.25">
      <c r="A160">
        <v>0.79</v>
      </c>
      <c r="B160">
        <v>4.6900000000000004</v>
      </c>
      <c r="C160">
        <v>3.99</v>
      </c>
    </row>
    <row r="161" spans="1:3" x14ac:dyDescent="0.25">
      <c r="A161">
        <v>0.79500000000000004</v>
      </c>
      <c r="B161">
        <v>4.7300000000000004</v>
      </c>
      <c r="C161">
        <v>4.0199999999999996</v>
      </c>
    </row>
    <row r="162" spans="1:3" x14ac:dyDescent="0.25">
      <c r="A162">
        <v>0.8</v>
      </c>
      <c r="B162">
        <v>4.76</v>
      </c>
      <c r="C162">
        <v>4.05</v>
      </c>
    </row>
    <row r="163" spans="1:3" x14ac:dyDescent="0.25">
      <c r="A163">
        <v>0.80500000000000005</v>
      </c>
      <c r="B163">
        <v>4.79</v>
      </c>
      <c r="C163">
        <v>4.08</v>
      </c>
    </row>
    <row r="164" spans="1:3" x14ac:dyDescent="0.25">
      <c r="A164">
        <v>0.81</v>
      </c>
      <c r="B164">
        <v>4.83</v>
      </c>
      <c r="C164">
        <v>4.0999999999999996</v>
      </c>
    </row>
    <row r="165" spans="1:3" x14ac:dyDescent="0.25">
      <c r="A165">
        <v>0.81499999999999995</v>
      </c>
      <c r="B165">
        <v>4.8600000000000003</v>
      </c>
      <c r="C165">
        <v>4.13</v>
      </c>
    </row>
    <row r="166" spans="1:3" x14ac:dyDescent="0.25">
      <c r="A166">
        <v>0.82</v>
      </c>
      <c r="B166">
        <v>4.9000000000000004</v>
      </c>
      <c r="C166">
        <v>4.16</v>
      </c>
    </row>
    <row r="167" spans="1:3" x14ac:dyDescent="0.25">
      <c r="A167">
        <v>0.82499999999999996</v>
      </c>
      <c r="B167">
        <v>4.93</v>
      </c>
      <c r="C167">
        <v>4.1900000000000004</v>
      </c>
    </row>
    <row r="168" spans="1:3" x14ac:dyDescent="0.25">
      <c r="A168">
        <v>0.83</v>
      </c>
      <c r="B168">
        <v>4.96</v>
      </c>
      <c r="C168">
        <v>4.22</v>
      </c>
    </row>
    <row r="169" spans="1:3" x14ac:dyDescent="0.25">
      <c r="A169">
        <v>0.83499999999999996</v>
      </c>
      <c r="B169">
        <v>5</v>
      </c>
      <c r="C169">
        <v>4.25</v>
      </c>
    </row>
    <row r="170" spans="1:3" x14ac:dyDescent="0.25">
      <c r="A170">
        <v>0.84</v>
      </c>
      <c r="B170">
        <v>5.03</v>
      </c>
      <c r="C170">
        <v>4.28</v>
      </c>
    </row>
    <row r="171" spans="1:3" x14ac:dyDescent="0.25">
      <c r="A171">
        <v>0.84499999999999997</v>
      </c>
      <c r="B171">
        <v>5.0599999999999996</v>
      </c>
      <c r="C171">
        <v>4.3</v>
      </c>
    </row>
    <row r="172" spans="1:3" x14ac:dyDescent="0.25">
      <c r="A172">
        <v>0.85</v>
      </c>
      <c r="B172">
        <v>5.0999999999999996</v>
      </c>
      <c r="C172">
        <v>4.33</v>
      </c>
    </row>
    <row r="173" spans="1:3" x14ac:dyDescent="0.25">
      <c r="A173">
        <v>0.85499999999999998</v>
      </c>
      <c r="B173">
        <v>5.13</v>
      </c>
      <c r="C173">
        <v>4.3600000000000003</v>
      </c>
    </row>
    <row r="174" spans="1:3" x14ac:dyDescent="0.25">
      <c r="A174">
        <v>0.86</v>
      </c>
      <c r="B174">
        <v>5.17</v>
      </c>
      <c r="C174">
        <v>4.3899999999999997</v>
      </c>
    </row>
    <row r="175" spans="1:3" x14ac:dyDescent="0.25">
      <c r="A175">
        <v>0.86499999999999999</v>
      </c>
      <c r="B175">
        <v>5.2</v>
      </c>
      <c r="C175">
        <v>4.42</v>
      </c>
    </row>
    <row r="176" spans="1:3" x14ac:dyDescent="0.25">
      <c r="A176">
        <v>0.87</v>
      </c>
      <c r="B176">
        <v>5.23</v>
      </c>
      <c r="C176">
        <v>4.45</v>
      </c>
    </row>
    <row r="177" spans="1:3" x14ac:dyDescent="0.25">
      <c r="A177">
        <v>0.875</v>
      </c>
      <c r="B177">
        <v>5.27</v>
      </c>
      <c r="C177">
        <v>4.4800000000000004</v>
      </c>
    </row>
    <row r="178" spans="1:3" x14ac:dyDescent="0.25">
      <c r="A178">
        <v>0.88</v>
      </c>
      <c r="B178">
        <v>5.3</v>
      </c>
      <c r="C178">
        <v>4.51</v>
      </c>
    </row>
    <row r="179" spans="1:3" x14ac:dyDescent="0.25">
      <c r="A179">
        <v>0.88500000000000001</v>
      </c>
      <c r="B179">
        <v>5.33</v>
      </c>
      <c r="C179">
        <v>4.53</v>
      </c>
    </row>
    <row r="180" spans="1:3" x14ac:dyDescent="0.25">
      <c r="A180">
        <v>0.89</v>
      </c>
      <c r="B180">
        <v>5.37</v>
      </c>
      <c r="C180">
        <v>4.5599999999999996</v>
      </c>
    </row>
    <row r="181" spans="1:3" x14ac:dyDescent="0.25">
      <c r="A181">
        <v>0.89500000000000002</v>
      </c>
      <c r="B181">
        <v>5.4</v>
      </c>
      <c r="C181">
        <v>4.59</v>
      </c>
    </row>
    <row r="182" spans="1:3" x14ac:dyDescent="0.25">
      <c r="A182">
        <v>0.9</v>
      </c>
      <c r="B182">
        <v>5.44</v>
      </c>
      <c r="C182">
        <v>4.62</v>
      </c>
    </row>
    <row r="183" spans="1:3" x14ac:dyDescent="0.25">
      <c r="A183">
        <v>0.90500000000000003</v>
      </c>
      <c r="B183">
        <v>5.47</v>
      </c>
      <c r="C183">
        <v>4.6500000000000004</v>
      </c>
    </row>
    <row r="184" spans="1:3" x14ac:dyDescent="0.25">
      <c r="A184">
        <v>0.91</v>
      </c>
      <c r="B184">
        <v>5.5</v>
      </c>
      <c r="C184">
        <v>4.68</v>
      </c>
    </row>
    <row r="185" spans="1:3" x14ac:dyDescent="0.25">
      <c r="A185">
        <v>0.91500000000000004</v>
      </c>
      <c r="B185">
        <v>5.54</v>
      </c>
      <c r="C185">
        <v>4.71</v>
      </c>
    </row>
    <row r="186" spans="1:3" x14ac:dyDescent="0.25">
      <c r="A186">
        <v>0.92</v>
      </c>
      <c r="B186">
        <v>5.57</v>
      </c>
      <c r="C186">
        <v>4.74</v>
      </c>
    </row>
    <row r="187" spans="1:3" x14ac:dyDescent="0.25">
      <c r="A187">
        <v>0.92500000000000004</v>
      </c>
      <c r="B187">
        <v>5.6</v>
      </c>
      <c r="C187">
        <v>4.76</v>
      </c>
    </row>
    <row r="188" spans="1:3" x14ac:dyDescent="0.25">
      <c r="A188">
        <v>0.93</v>
      </c>
      <c r="B188">
        <v>5.64</v>
      </c>
      <c r="C188">
        <v>4.79</v>
      </c>
    </row>
    <row r="189" spans="1:3" x14ac:dyDescent="0.25">
      <c r="A189">
        <v>0.93500000000000005</v>
      </c>
      <c r="B189">
        <v>5.67</v>
      </c>
      <c r="C189">
        <v>4.82</v>
      </c>
    </row>
    <row r="190" spans="1:3" x14ac:dyDescent="0.25">
      <c r="A190">
        <v>0.94</v>
      </c>
      <c r="B190">
        <v>5.71</v>
      </c>
      <c r="C190">
        <v>4.8499999999999996</v>
      </c>
    </row>
    <row r="191" spans="1:3" x14ac:dyDescent="0.25">
      <c r="A191">
        <v>0.94499999999999995</v>
      </c>
      <c r="B191">
        <v>5.74</v>
      </c>
      <c r="C191">
        <v>4.88</v>
      </c>
    </row>
    <row r="192" spans="1:3" x14ac:dyDescent="0.25">
      <c r="A192">
        <v>0.95</v>
      </c>
      <c r="B192">
        <v>5.77</v>
      </c>
      <c r="C192">
        <v>4.91</v>
      </c>
    </row>
    <row r="193" spans="1:3" x14ac:dyDescent="0.25">
      <c r="A193">
        <v>0.95499999999999996</v>
      </c>
      <c r="B193">
        <v>5.81</v>
      </c>
      <c r="C193">
        <v>4.9400000000000004</v>
      </c>
    </row>
    <row r="194" spans="1:3" x14ac:dyDescent="0.25">
      <c r="A194">
        <v>0.96</v>
      </c>
      <c r="B194">
        <v>5.84</v>
      </c>
      <c r="C194">
        <v>4.96</v>
      </c>
    </row>
    <row r="195" spans="1:3" x14ac:dyDescent="0.25">
      <c r="A195">
        <v>0.96499999999999997</v>
      </c>
      <c r="B195">
        <v>5.87</v>
      </c>
      <c r="C195">
        <v>4.99</v>
      </c>
    </row>
    <row r="196" spans="1:3" x14ac:dyDescent="0.25">
      <c r="A196">
        <v>0.97</v>
      </c>
      <c r="B196">
        <v>5.91</v>
      </c>
      <c r="C196">
        <v>5.0199999999999996</v>
      </c>
    </row>
    <row r="197" spans="1:3" x14ac:dyDescent="0.25">
      <c r="A197">
        <v>0.97499999999999998</v>
      </c>
      <c r="B197">
        <v>5.94</v>
      </c>
      <c r="C197">
        <v>5.05</v>
      </c>
    </row>
    <row r="198" spans="1:3" x14ac:dyDescent="0.25">
      <c r="A198">
        <v>0.98</v>
      </c>
      <c r="B198">
        <v>5.98</v>
      </c>
      <c r="C198">
        <v>5.08</v>
      </c>
    </row>
    <row r="199" spans="1:3" x14ac:dyDescent="0.25">
      <c r="A199">
        <v>0.98499999999999999</v>
      </c>
      <c r="B199">
        <v>6.01</v>
      </c>
      <c r="C199">
        <v>5.1100000000000003</v>
      </c>
    </row>
    <row r="200" spans="1:3" x14ac:dyDescent="0.25">
      <c r="A200">
        <v>0.99</v>
      </c>
      <c r="B200">
        <v>6.04</v>
      </c>
      <c r="C200">
        <v>5.14</v>
      </c>
    </row>
    <row r="201" spans="1:3" x14ac:dyDescent="0.25">
      <c r="A201">
        <v>0.995</v>
      </c>
      <c r="B201">
        <v>6.08</v>
      </c>
      <c r="C201">
        <v>5.17</v>
      </c>
    </row>
    <row r="202" spans="1:3" x14ac:dyDescent="0.25">
      <c r="A202">
        <v>1</v>
      </c>
      <c r="B202">
        <v>6.11</v>
      </c>
      <c r="C202">
        <v>5.19</v>
      </c>
    </row>
    <row r="203" spans="1:3" x14ac:dyDescent="0.25">
      <c r="A203">
        <v>1.0049999999999999</v>
      </c>
      <c r="B203">
        <v>6.14</v>
      </c>
      <c r="C203">
        <v>5.22</v>
      </c>
    </row>
    <row r="204" spans="1:3" x14ac:dyDescent="0.25">
      <c r="A204">
        <v>1.01</v>
      </c>
      <c r="B204">
        <v>6.18</v>
      </c>
      <c r="C204">
        <v>5.25</v>
      </c>
    </row>
    <row r="205" spans="1:3" x14ac:dyDescent="0.25">
      <c r="A205">
        <v>1.0149999999999999</v>
      </c>
      <c r="B205">
        <v>6.21</v>
      </c>
      <c r="C205">
        <v>5.28</v>
      </c>
    </row>
    <row r="206" spans="1:3" x14ac:dyDescent="0.25">
      <c r="A206">
        <v>1.02</v>
      </c>
      <c r="B206">
        <v>6.25</v>
      </c>
      <c r="C206">
        <v>5.31</v>
      </c>
    </row>
    <row r="207" spans="1:3" x14ac:dyDescent="0.25">
      <c r="A207">
        <v>1.0249999999999999</v>
      </c>
      <c r="B207">
        <v>6.28</v>
      </c>
      <c r="C207">
        <v>5.34</v>
      </c>
    </row>
    <row r="208" spans="1:3" x14ac:dyDescent="0.25">
      <c r="A208">
        <v>1.03</v>
      </c>
      <c r="B208">
        <v>6.31</v>
      </c>
      <c r="C208">
        <v>5.37</v>
      </c>
    </row>
    <row r="209" spans="1:3" x14ac:dyDescent="0.25">
      <c r="A209">
        <v>1.0349999999999999</v>
      </c>
      <c r="B209">
        <v>6.35</v>
      </c>
      <c r="C209">
        <v>5.39</v>
      </c>
    </row>
    <row r="210" spans="1:3" x14ac:dyDescent="0.25">
      <c r="A210">
        <v>1.04</v>
      </c>
      <c r="B210">
        <v>6.38</v>
      </c>
      <c r="C210">
        <v>5.42</v>
      </c>
    </row>
    <row r="211" spans="1:3" x14ac:dyDescent="0.25">
      <c r="A211">
        <v>1.0449999999999999</v>
      </c>
      <c r="B211">
        <v>6.41</v>
      </c>
      <c r="C211">
        <v>5.45</v>
      </c>
    </row>
    <row r="212" spans="1:3" x14ac:dyDescent="0.25">
      <c r="A212">
        <v>1.05</v>
      </c>
      <c r="B212">
        <v>6.45</v>
      </c>
      <c r="C212">
        <v>5.48</v>
      </c>
    </row>
    <row r="213" spans="1:3" x14ac:dyDescent="0.25">
      <c r="A213">
        <v>1.0549999999999999</v>
      </c>
      <c r="B213">
        <v>6.48</v>
      </c>
      <c r="C213">
        <v>5.51</v>
      </c>
    </row>
    <row r="214" spans="1:3" x14ac:dyDescent="0.25">
      <c r="A214">
        <v>1.06</v>
      </c>
      <c r="B214">
        <v>6.52</v>
      </c>
      <c r="C214">
        <v>5.54</v>
      </c>
    </row>
    <row r="215" spans="1:3" x14ac:dyDescent="0.25">
      <c r="A215">
        <v>1.0649999999999999</v>
      </c>
      <c r="B215">
        <v>6.55</v>
      </c>
      <c r="C215">
        <v>5.57</v>
      </c>
    </row>
    <row r="216" spans="1:3" x14ac:dyDescent="0.25">
      <c r="A216">
        <v>1.07</v>
      </c>
      <c r="B216">
        <v>6.58</v>
      </c>
      <c r="C216">
        <v>5.6</v>
      </c>
    </row>
    <row r="217" spans="1:3" x14ac:dyDescent="0.25">
      <c r="A217">
        <v>1.075</v>
      </c>
      <c r="B217">
        <v>6.62</v>
      </c>
      <c r="C217">
        <v>5.62</v>
      </c>
    </row>
    <row r="218" spans="1:3" x14ac:dyDescent="0.25">
      <c r="A218">
        <v>1.08</v>
      </c>
      <c r="B218">
        <v>6.65</v>
      </c>
      <c r="C218">
        <v>5.65</v>
      </c>
    </row>
    <row r="219" spans="1:3" x14ac:dyDescent="0.25">
      <c r="A219">
        <v>1.085</v>
      </c>
      <c r="B219">
        <v>6.68</v>
      </c>
      <c r="C219">
        <v>5.68</v>
      </c>
    </row>
    <row r="220" spans="1:3" x14ac:dyDescent="0.25">
      <c r="A220">
        <v>1.0900000000000001</v>
      </c>
      <c r="B220">
        <v>6.72</v>
      </c>
      <c r="C220">
        <v>5.71</v>
      </c>
    </row>
    <row r="221" spans="1:3" x14ac:dyDescent="0.25">
      <c r="A221">
        <v>1.095</v>
      </c>
      <c r="B221">
        <v>6.75</v>
      </c>
      <c r="C221">
        <v>5.74</v>
      </c>
    </row>
    <row r="222" spans="1:3" x14ac:dyDescent="0.25">
      <c r="A222">
        <v>1.1000000000000001</v>
      </c>
      <c r="B222">
        <v>6.79</v>
      </c>
      <c r="C222">
        <v>5.77</v>
      </c>
    </row>
    <row r="223" spans="1:3" x14ac:dyDescent="0.25">
      <c r="A223">
        <v>1.105</v>
      </c>
      <c r="B223">
        <v>6.82</v>
      </c>
      <c r="C223">
        <v>5.8</v>
      </c>
    </row>
    <row r="224" spans="1:3" x14ac:dyDescent="0.25">
      <c r="A224">
        <v>1.1100000000000001</v>
      </c>
      <c r="B224">
        <v>6.85</v>
      </c>
      <c r="C224">
        <v>5.83</v>
      </c>
    </row>
    <row r="225" spans="1:3" x14ac:dyDescent="0.25">
      <c r="A225">
        <v>1.115</v>
      </c>
      <c r="B225">
        <v>6.89</v>
      </c>
      <c r="C225">
        <v>5.85</v>
      </c>
    </row>
    <row r="226" spans="1:3" x14ac:dyDescent="0.25">
      <c r="A226">
        <v>1.1200000000000001</v>
      </c>
      <c r="B226">
        <v>6.92</v>
      </c>
      <c r="C226">
        <v>5.88</v>
      </c>
    </row>
    <row r="227" spans="1:3" x14ac:dyDescent="0.25">
      <c r="A227">
        <v>1.125</v>
      </c>
      <c r="B227">
        <v>6.95</v>
      </c>
      <c r="C227">
        <v>5.91</v>
      </c>
    </row>
    <row r="228" spans="1:3" x14ac:dyDescent="0.25">
      <c r="A228">
        <v>1.1299999999999999</v>
      </c>
      <c r="B228">
        <v>6.99</v>
      </c>
      <c r="C228">
        <v>5.94</v>
      </c>
    </row>
    <row r="229" spans="1:3" x14ac:dyDescent="0.25">
      <c r="A229">
        <v>1.135</v>
      </c>
      <c r="B229">
        <v>7.02</v>
      </c>
      <c r="C229">
        <v>5.97</v>
      </c>
    </row>
    <row r="230" spans="1:3" x14ac:dyDescent="0.25">
      <c r="A230">
        <v>1.1399999999999999</v>
      </c>
      <c r="B230">
        <v>7.06</v>
      </c>
      <c r="C230">
        <v>6</v>
      </c>
    </row>
    <row r="231" spans="1:3" x14ac:dyDescent="0.25">
      <c r="A231">
        <v>1.145</v>
      </c>
      <c r="B231">
        <v>7.09</v>
      </c>
      <c r="C231">
        <v>6.03</v>
      </c>
    </row>
    <row r="232" spans="1:3" x14ac:dyDescent="0.25">
      <c r="A232">
        <v>1.1499999999999999</v>
      </c>
      <c r="B232">
        <v>7.12</v>
      </c>
      <c r="C232">
        <v>6.05</v>
      </c>
    </row>
    <row r="233" spans="1:3" x14ac:dyDescent="0.25">
      <c r="A233">
        <v>1.155</v>
      </c>
      <c r="B233">
        <v>7.16</v>
      </c>
      <c r="C233">
        <v>6.08</v>
      </c>
    </row>
    <row r="234" spans="1:3" x14ac:dyDescent="0.25">
      <c r="A234">
        <v>1.1599999999999999</v>
      </c>
      <c r="B234">
        <v>7.19</v>
      </c>
      <c r="C234">
        <v>6.11</v>
      </c>
    </row>
    <row r="235" spans="1:3" x14ac:dyDescent="0.25">
      <c r="A235">
        <v>1.165</v>
      </c>
      <c r="B235">
        <v>7.22</v>
      </c>
      <c r="C235">
        <v>6.14</v>
      </c>
    </row>
    <row r="236" spans="1:3" x14ac:dyDescent="0.25">
      <c r="A236">
        <v>1.17</v>
      </c>
      <c r="B236">
        <v>7.26</v>
      </c>
      <c r="C236">
        <v>6.17</v>
      </c>
    </row>
    <row r="237" spans="1:3" x14ac:dyDescent="0.25">
      <c r="A237">
        <v>1.175</v>
      </c>
      <c r="B237">
        <v>7.29</v>
      </c>
      <c r="C237">
        <v>6.2</v>
      </c>
    </row>
    <row r="238" spans="1:3" x14ac:dyDescent="0.25">
      <c r="A238">
        <v>1.18</v>
      </c>
      <c r="B238">
        <v>7.33</v>
      </c>
      <c r="C238">
        <v>6.23</v>
      </c>
    </row>
    <row r="239" spans="1:3" x14ac:dyDescent="0.25">
      <c r="A239">
        <v>1.1850000000000001</v>
      </c>
      <c r="B239">
        <v>7.36</v>
      </c>
      <c r="C239">
        <v>6.26</v>
      </c>
    </row>
    <row r="240" spans="1:3" x14ac:dyDescent="0.25">
      <c r="A240">
        <v>1.19</v>
      </c>
      <c r="B240">
        <v>7.39</v>
      </c>
      <c r="C240">
        <v>6.28</v>
      </c>
    </row>
    <row r="241" spans="1:3" x14ac:dyDescent="0.25">
      <c r="A241">
        <v>1.1950000000000001</v>
      </c>
      <c r="B241">
        <v>7.43</v>
      </c>
      <c r="C241">
        <v>6.31</v>
      </c>
    </row>
    <row r="242" spans="1:3" x14ac:dyDescent="0.25">
      <c r="A242">
        <v>1.2</v>
      </c>
      <c r="B242">
        <v>7.46</v>
      </c>
      <c r="C242">
        <v>6.34</v>
      </c>
    </row>
    <row r="243" spans="1:3" x14ac:dyDescent="0.25">
      <c r="A243">
        <v>1.2050000000000001</v>
      </c>
      <c r="B243">
        <v>7.49</v>
      </c>
      <c r="C243">
        <v>6.37</v>
      </c>
    </row>
    <row r="244" spans="1:3" x14ac:dyDescent="0.25">
      <c r="A244">
        <v>1.21</v>
      </c>
      <c r="B244">
        <v>7.53</v>
      </c>
      <c r="C244">
        <v>6.4</v>
      </c>
    </row>
    <row r="245" spans="1:3" x14ac:dyDescent="0.25">
      <c r="A245">
        <v>1.2150000000000001</v>
      </c>
      <c r="B245">
        <v>7.56</v>
      </c>
      <c r="C245">
        <v>6.43</v>
      </c>
    </row>
    <row r="246" spans="1:3" x14ac:dyDescent="0.25">
      <c r="A246">
        <v>1.22</v>
      </c>
      <c r="B246">
        <v>7.6</v>
      </c>
      <c r="C246">
        <v>6.46</v>
      </c>
    </row>
    <row r="247" spans="1:3" x14ac:dyDescent="0.25">
      <c r="A247">
        <v>1.2250000000000001</v>
      </c>
      <c r="B247">
        <v>7.63</v>
      </c>
      <c r="C247">
        <v>6.48</v>
      </c>
    </row>
    <row r="248" spans="1:3" x14ac:dyDescent="0.25">
      <c r="A248">
        <v>1.23</v>
      </c>
      <c r="B248">
        <v>7.66</v>
      </c>
      <c r="C248">
        <v>6.51</v>
      </c>
    </row>
    <row r="249" spans="1:3" x14ac:dyDescent="0.25">
      <c r="A249">
        <v>1.2350000000000001</v>
      </c>
      <c r="B249">
        <v>7.7</v>
      </c>
      <c r="C249">
        <v>6.54</v>
      </c>
    </row>
    <row r="250" spans="1:3" x14ac:dyDescent="0.25">
      <c r="A250">
        <v>1.24</v>
      </c>
      <c r="B250">
        <v>7.73</v>
      </c>
      <c r="C250">
        <v>6.57</v>
      </c>
    </row>
    <row r="251" spans="1:3" x14ac:dyDescent="0.25">
      <c r="A251">
        <v>1.2450000000000001</v>
      </c>
      <c r="B251">
        <v>7.76</v>
      </c>
      <c r="C251">
        <v>6.6</v>
      </c>
    </row>
    <row r="252" spans="1:3" x14ac:dyDescent="0.25">
      <c r="A252">
        <v>1.25</v>
      </c>
      <c r="B252">
        <v>7.8</v>
      </c>
      <c r="C252">
        <v>6.63</v>
      </c>
    </row>
    <row r="253" spans="1:3" x14ac:dyDescent="0.25">
      <c r="A253">
        <v>1.2549999999999999</v>
      </c>
      <c r="B253">
        <v>7.83</v>
      </c>
      <c r="C253">
        <v>6.66</v>
      </c>
    </row>
    <row r="254" spans="1:3" x14ac:dyDescent="0.25">
      <c r="A254">
        <v>1.26</v>
      </c>
      <c r="B254">
        <v>7.87</v>
      </c>
      <c r="C254">
        <v>6.69</v>
      </c>
    </row>
    <row r="255" spans="1:3" x14ac:dyDescent="0.25">
      <c r="A255">
        <v>1.2649999999999999</v>
      </c>
      <c r="B255">
        <v>7.9</v>
      </c>
      <c r="C255">
        <v>6.71</v>
      </c>
    </row>
    <row r="256" spans="1:3" x14ac:dyDescent="0.25">
      <c r="A256">
        <v>1.27</v>
      </c>
      <c r="B256">
        <v>7.93</v>
      </c>
      <c r="C256">
        <v>6.74</v>
      </c>
    </row>
    <row r="257" spans="1:3" x14ac:dyDescent="0.25">
      <c r="A257">
        <v>1.2749999999999999</v>
      </c>
      <c r="B257">
        <v>7.97</v>
      </c>
      <c r="C257">
        <v>6.77</v>
      </c>
    </row>
    <row r="258" spans="1:3" x14ac:dyDescent="0.25">
      <c r="A258">
        <v>1.28</v>
      </c>
      <c r="B258">
        <v>8</v>
      </c>
      <c r="C258">
        <v>6.8</v>
      </c>
    </row>
    <row r="259" spans="1:3" x14ac:dyDescent="0.25">
      <c r="A259">
        <v>1.2849999999999999</v>
      </c>
      <c r="B259">
        <v>8.0299999999999994</v>
      </c>
      <c r="C259">
        <v>6.83</v>
      </c>
    </row>
    <row r="260" spans="1:3" x14ac:dyDescent="0.25">
      <c r="A260">
        <v>1.29</v>
      </c>
      <c r="B260">
        <v>8.07</v>
      </c>
      <c r="C260">
        <v>6.86</v>
      </c>
    </row>
    <row r="261" spans="1:3" x14ac:dyDescent="0.25">
      <c r="A261">
        <v>1.2949999999999999</v>
      </c>
      <c r="B261">
        <v>8.1</v>
      </c>
      <c r="C261">
        <v>6.89</v>
      </c>
    </row>
    <row r="262" spans="1:3" x14ac:dyDescent="0.25">
      <c r="A262">
        <v>1.3</v>
      </c>
      <c r="B262">
        <v>8.14</v>
      </c>
      <c r="C262">
        <v>6.92</v>
      </c>
    </row>
    <row r="263" spans="1:3" x14ac:dyDescent="0.25">
      <c r="A263">
        <v>1.3049999999999999</v>
      </c>
      <c r="B263">
        <v>8.17</v>
      </c>
      <c r="C263">
        <v>6.94</v>
      </c>
    </row>
    <row r="264" spans="1:3" x14ac:dyDescent="0.25">
      <c r="A264">
        <v>1.31</v>
      </c>
      <c r="B264">
        <v>8.1999999999999993</v>
      </c>
      <c r="C264">
        <v>6.97</v>
      </c>
    </row>
    <row r="265" spans="1:3" x14ac:dyDescent="0.25">
      <c r="A265">
        <v>1.3149999999999999</v>
      </c>
      <c r="B265">
        <v>8.24</v>
      </c>
      <c r="C265">
        <v>7</v>
      </c>
    </row>
    <row r="266" spans="1:3" x14ac:dyDescent="0.25">
      <c r="A266">
        <v>1.32</v>
      </c>
      <c r="B266">
        <v>8.27</v>
      </c>
      <c r="C266">
        <v>7.03</v>
      </c>
    </row>
    <row r="267" spans="1:3" x14ac:dyDescent="0.25">
      <c r="A267">
        <v>1.325</v>
      </c>
      <c r="B267">
        <v>8.3000000000000007</v>
      </c>
      <c r="C267">
        <v>7.06</v>
      </c>
    </row>
    <row r="268" spans="1:3" x14ac:dyDescent="0.25">
      <c r="A268">
        <v>1.33</v>
      </c>
      <c r="B268">
        <v>8.34</v>
      </c>
      <c r="C268">
        <v>7.09</v>
      </c>
    </row>
    <row r="269" spans="1:3" x14ac:dyDescent="0.25">
      <c r="A269">
        <v>1.335</v>
      </c>
      <c r="B269">
        <v>8.3699999999999992</v>
      </c>
      <c r="C269">
        <v>7.12</v>
      </c>
    </row>
    <row r="270" spans="1:3" x14ac:dyDescent="0.25">
      <c r="A270">
        <v>1.34</v>
      </c>
      <c r="B270">
        <v>8.41</v>
      </c>
      <c r="C270">
        <v>7.14</v>
      </c>
    </row>
    <row r="271" spans="1:3" x14ac:dyDescent="0.25">
      <c r="A271">
        <v>1.345</v>
      </c>
      <c r="B271">
        <v>8.44</v>
      </c>
      <c r="C271">
        <v>7.17</v>
      </c>
    </row>
    <row r="272" spans="1:3" x14ac:dyDescent="0.25">
      <c r="A272">
        <v>1.35</v>
      </c>
      <c r="B272">
        <v>8.4700000000000006</v>
      </c>
      <c r="C272">
        <v>7.2</v>
      </c>
    </row>
    <row r="273" spans="1:3" x14ac:dyDescent="0.25">
      <c r="A273">
        <v>1.355</v>
      </c>
      <c r="B273">
        <v>8.51</v>
      </c>
      <c r="C273">
        <v>7.23</v>
      </c>
    </row>
    <row r="274" spans="1:3" x14ac:dyDescent="0.25">
      <c r="A274">
        <v>1.36</v>
      </c>
      <c r="B274">
        <v>8.5399999999999991</v>
      </c>
      <c r="C274">
        <v>7.26</v>
      </c>
    </row>
    <row r="275" spans="1:3" x14ac:dyDescent="0.25">
      <c r="A275">
        <v>1.365</v>
      </c>
      <c r="B275">
        <v>8.57</v>
      </c>
      <c r="C275">
        <v>7.29</v>
      </c>
    </row>
    <row r="276" spans="1:3" x14ac:dyDescent="0.25">
      <c r="A276">
        <v>1.37</v>
      </c>
      <c r="B276">
        <v>8.61</v>
      </c>
      <c r="C276">
        <v>7.32</v>
      </c>
    </row>
    <row r="277" spans="1:3" x14ac:dyDescent="0.25">
      <c r="A277">
        <v>1.375</v>
      </c>
      <c r="B277">
        <v>8.64</v>
      </c>
      <c r="C277">
        <v>7.35</v>
      </c>
    </row>
    <row r="278" spans="1:3" x14ac:dyDescent="0.25">
      <c r="A278">
        <v>1.38</v>
      </c>
      <c r="B278">
        <v>8.68</v>
      </c>
      <c r="C278">
        <v>7.37</v>
      </c>
    </row>
    <row r="279" spans="1:3" x14ac:dyDescent="0.25">
      <c r="A279">
        <v>1.385</v>
      </c>
      <c r="B279">
        <v>8.7100000000000009</v>
      </c>
      <c r="C279">
        <v>7.4</v>
      </c>
    </row>
    <row r="280" spans="1:3" x14ac:dyDescent="0.25">
      <c r="A280">
        <v>1.39</v>
      </c>
      <c r="B280">
        <v>8.74</v>
      </c>
      <c r="C280">
        <v>7.43</v>
      </c>
    </row>
    <row r="281" spans="1:3" x14ac:dyDescent="0.25">
      <c r="A281">
        <v>1.395</v>
      </c>
      <c r="B281">
        <v>8.7799999999999994</v>
      </c>
      <c r="C281">
        <v>7.46</v>
      </c>
    </row>
    <row r="282" spans="1:3" x14ac:dyDescent="0.25">
      <c r="A282">
        <v>1.4</v>
      </c>
      <c r="B282">
        <v>8.81</v>
      </c>
      <c r="C282">
        <v>7.49</v>
      </c>
    </row>
    <row r="283" spans="1:3" x14ac:dyDescent="0.25">
      <c r="A283">
        <v>1.405</v>
      </c>
      <c r="B283">
        <v>8.84</v>
      </c>
      <c r="C283">
        <v>7.52</v>
      </c>
    </row>
    <row r="284" spans="1:3" x14ac:dyDescent="0.25">
      <c r="A284">
        <v>1.41</v>
      </c>
      <c r="B284">
        <v>8.8800000000000008</v>
      </c>
      <c r="C284">
        <v>7.55</v>
      </c>
    </row>
    <row r="285" spans="1:3" x14ac:dyDescent="0.25">
      <c r="A285">
        <v>1.415</v>
      </c>
      <c r="B285">
        <v>8.91</v>
      </c>
      <c r="C285">
        <v>7.58</v>
      </c>
    </row>
    <row r="286" spans="1:3" x14ac:dyDescent="0.25">
      <c r="A286">
        <v>1.42</v>
      </c>
      <c r="B286">
        <v>8.9499999999999993</v>
      </c>
      <c r="C286">
        <v>7.6</v>
      </c>
    </row>
    <row r="287" spans="1:3" x14ac:dyDescent="0.25">
      <c r="A287">
        <v>1.425</v>
      </c>
      <c r="B287">
        <v>8.98</v>
      </c>
      <c r="C287">
        <v>7.63</v>
      </c>
    </row>
    <row r="288" spans="1:3" x14ac:dyDescent="0.25">
      <c r="A288">
        <v>1.43</v>
      </c>
      <c r="B288">
        <v>9.01</v>
      </c>
      <c r="C288">
        <v>7.66</v>
      </c>
    </row>
    <row r="289" spans="1:3" x14ac:dyDescent="0.25">
      <c r="A289">
        <v>1.4350000000000001</v>
      </c>
      <c r="B289">
        <v>9.0500000000000007</v>
      </c>
      <c r="C289">
        <v>7.69</v>
      </c>
    </row>
    <row r="290" spans="1:3" x14ac:dyDescent="0.25">
      <c r="A290">
        <v>1.44</v>
      </c>
      <c r="B290">
        <v>9.08</v>
      </c>
      <c r="C290">
        <v>7.72</v>
      </c>
    </row>
    <row r="291" spans="1:3" x14ac:dyDescent="0.25">
      <c r="A291">
        <v>1.4450000000000001</v>
      </c>
      <c r="B291">
        <v>9.11</v>
      </c>
      <c r="C291">
        <v>7.75</v>
      </c>
    </row>
    <row r="292" spans="1:3" x14ac:dyDescent="0.25">
      <c r="A292">
        <v>1.45</v>
      </c>
      <c r="B292">
        <v>9.15</v>
      </c>
      <c r="C292">
        <v>7.78</v>
      </c>
    </row>
    <row r="293" spans="1:3" x14ac:dyDescent="0.25">
      <c r="A293">
        <v>1.4550000000000001</v>
      </c>
      <c r="B293">
        <v>9.18</v>
      </c>
      <c r="C293">
        <v>7.8</v>
      </c>
    </row>
    <row r="294" spans="1:3" x14ac:dyDescent="0.25">
      <c r="A294">
        <v>1.46</v>
      </c>
      <c r="B294">
        <v>9.2200000000000006</v>
      </c>
      <c r="C294">
        <v>7.83</v>
      </c>
    </row>
    <row r="295" spans="1:3" x14ac:dyDescent="0.25">
      <c r="A295">
        <v>1.4650000000000001</v>
      </c>
      <c r="B295">
        <v>9.25</v>
      </c>
      <c r="C295">
        <v>7.86</v>
      </c>
    </row>
    <row r="296" spans="1:3" x14ac:dyDescent="0.25">
      <c r="A296">
        <v>1.47</v>
      </c>
      <c r="B296">
        <v>9.2799999999999994</v>
      </c>
      <c r="C296">
        <v>7.89</v>
      </c>
    </row>
    <row r="297" spans="1:3" x14ac:dyDescent="0.25">
      <c r="A297">
        <v>1.4750000000000001</v>
      </c>
      <c r="B297">
        <v>9.32</v>
      </c>
      <c r="C297">
        <v>7.92</v>
      </c>
    </row>
    <row r="298" spans="1:3" x14ac:dyDescent="0.25">
      <c r="A298">
        <v>1.48</v>
      </c>
      <c r="B298">
        <v>9.35</v>
      </c>
      <c r="C298">
        <v>7.95</v>
      </c>
    </row>
    <row r="299" spans="1:3" x14ac:dyDescent="0.25">
      <c r="A299">
        <v>1.4850000000000001</v>
      </c>
      <c r="B299">
        <v>9.3800000000000008</v>
      </c>
      <c r="C299">
        <v>7.98</v>
      </c>
    </row>
    <row r="300" spans="1:3" x14ac:dyDescent="0.25">
      <c r="A300">
        <v>1.49</v>
      </c>
      <c r="B300">
        <v>9.42</v>
      </c>
      <c r="C300">
        <v>8.01</v>
      </c>
    </row>
    <row r="301" spans="1:3" x14ac:dyDescent="0.25">
      <c r="A301">
        <v>1.4950000000000001</v>
      </c>
      <c r="B301">
        <v>9.4499999999999993</v>
      </c>
      <c r="C301">
        <v>8.0299999999999994</v>
      </c>
    </row>
    <row r="302" spans="1:3" x14ac:dyDescent="0.25">
      <c r="A302">
        <v>1.5</v>
      </c>
      <c r="B302">
        <v>9.49</v>
      </c>
      <c r="C302">
        <v>8.06</v>
      </c>
    </row>
    <row r="303" spans="1:3" x14ac:dyDescent="0.25">
      <c r="A303">
        <v>1.5049999999999999</v>
      </c>
      <c r="B303">
        <v>9.52</v>
      </c>
      <c r="C303">
        <v>8.09</v>
      </c>
    </row>
    <row r="304" spans="1:3" x14ac:dyDescent="0.25">
      <c r="A304">
        <v>1.51</v>
      </c>
      <c r="B304">
        <v>9.5500000000000007</v>
      </c>
      <c r="C304">
        <v>8.1199999999999992</v>
      </c>
    </row>
    <row r="305" spans="1:3" x14ac:dyDescent="0.25">
      <c r="A305">
        <v>1.5149999999999999</v>
      </c>
      <c r="B305">
        <v>9.59</v>
      </c>
      <c r="C305">
        <v>8.15</v>
      </c>
    </row>
    <row r="306" spans="1:3" x14ac:dyDescent="0.25">
      <c r="A306">
        <v>1.52</v>
      </c>
      <c r="B306">
        <v>9.6199999999999992</v>
      </c>
      <c r="C306">
        <v>8.18</v>
      </c>
    </row>
    <row r="307" spans="1:3" x14ac:dyDescent="0.25">
      <c r="A307">
        <v>1.5249999999999999</v>
      </c>
      <c r="B307">
        <v>9.65</v>
      </c>
      <c r="C307">
        <v>8.2100000000000009</v>
      </c>
    </row>
    <row r="308" spans="1:3" x14ac:dyDescent="0.25">
      <c r="A308">
        <v>1.53</v>
      </c>
      <c r="B308">
        <v>9.69</v>
      </c>
      <c r="C308">
        <v>8.23</v>
      </c>
    </row>
    <row r="309" spans="1:3" x14ac:dyDescent="0.25">
      <c r="A309">
        <v>1.5349999999999999</v>
      </c>
      <c r="B309">
        <v>9.7200000000000006</v>
      </c>
      <c r="C309">
        <v>8.26</v>
      </c>
    </row>
    <row r="310" spans="1:3" x14ac:dyDescent="0.25">
      <c r="A310">
        <v>1.54</v>
      </c>
      <c r="B310">
        <v>9.76</v>
      </c>
      <c r="C310">
        <v>8.2899999999999991</v>
      </c>
    </row>
    <row r="311" spans="1:3" x14ac:dyDescent="0.25">
      <c r="A311">
        <v>1.5449999999999999</v>
      </c>
      <c r="B311">
        <v>9.7899999999999991</v>
      </c>
      <c r="C311">
        <v>8.32</v>
      </c>
    </row>
    <row r="312" spans="1:3" x14ac:dyDescent="0.25">
      <c r="A312">
        <v>1.55</v>
      </c>
      <c r="B312">
        <v>9.82</v>
      </c>
      <c r="C312">
        <v>8.35</v>
      </c>
    </row>
    <row r="313" spans="1:3" x14ac:dyDescent="0.25">
      <c r="A313">
        <v>1.5549999999999999</v>
      </c>
      <c r="B313">
        <v>9.86</v>
      </c>
      <c r="C313">
        <v>8.3800000000000008</v>
      </c>
    </row>
    <row r="314" spans="1:3" x14ac:dyDescent="0.25">
      <c r="A314">
        <v>1.56</v>
      </c>
      <c r="B314">
        <v>9.89</v>
      </c>
      <c r="C314">
        <v>8.41</v>
      </c>
    </row>
    <row r="315" spans="1:3" x14ac:dyDescent="0.25">
      <c r="A315">
        <v>1.5649999999999999</v>
      </c>
      <c r="B315">
        <v>9.92</v>
      </c>
      <c r="C315">
        <v>8.44</v>
      </c>
    </row>
    <row r="316" spans="1:3" x14ac:dyDescent="0.25">
      <c r="A316">
        <v>1.57</v>
      </c>
      <c r="B316">
        <v>9.9600000000000009</v>
      </c>
      <c r="C316">
        <v>8.4600000000000009</v>
      </c>
    </row>
    <row r="317" spans="1:3" x14ac:dyDescent="0.25">
      <c r="A317">
        <v>1.575</v>
      </c>
      <c r="B317">
        <v>9.99</v>
      </c>
      <c r="C317">
        <v>8.49</v>
      </c>
    </row>
    <row r="318" spans="1:3" x14ac:dyDescent="0.25">
      <c r="A318">
        <v>1.58</v>
      </c>
      <c r="B318">
        <v>10.029999999999999</v>
      </c>
      <c r="C318">
        <v>8.52</v>
      </c>
    </row>
    <row r="319" spans="1:3" x14ac:dyDescent="0.25">
      <c r="A319">
        <v>1.585</v>
      </c>
      <c r="B319">
        <v>10.06</v>
      </c>
      <c r="C319">
        <v>8.5500000000000007</v>
      </c>
    </row>
    <row r="320" spans="1:3" x14ac:dyDescent="0.25">
      <c r="A320">
        <v>1.59</v>
      </c>
      <c r="B320">
        <v>10.09</v>
      </c>
      <c r="C320">
        <v>8.58</v>
      </c>
    </row>
    <row r="321" spans="1:3" x14ac:dyDescent="0.25">
      <c r="A321">
        <v>1.595</v>
      </c>
      <c r="B321">
        <v>10.130000000000001</v>
      </c>
      <c r="C321">
        <v>8.61</v>
      </c>
    </row>
    <row r="322" spans="1:3" x14ac:dyDescent="0.25">
      <c r="A322">
        <v>1.6</v>
      </c>
      <c r="B322">
        <v>10.16</v>
      </c>
      <c r="C322">
        <v>8.64</v>
      </c>
    </row>
    <row r="323" spans="1:3" x14ac:dyDescent="0.25">
      <c r="A323">
        <v>1.605</v>
      </c>
      <c r="B323">
        <v>10.19</v>
      </c>
      <c r="C323">
        <v>8.67</v>
      </c>
    </row>
    <row r="324" spans="1:3" x14ac:dyDescent="0.25">
      <c r="A324">
        <v>1.61</v>
      </c>
      <c r="B324">
        <v>10.23</v>
      </c>
      <c r="C324">
        <v>8.69</v>
      </c>
    </row>
    <row r="325" spans="1:3" x14ac:dyDescent="0.25">
      <c r="A325">
        <v>1.615</v>
      </c>
      <c r="B325">
        <v>10.26</v>
      </c>
      <c r="C325">
        <v>8.7200000000000006</v>
      </c>
    </row>
    <row r="326" spans="1:3" x14ac:dyDescent="0.25">
      <c r="A326">
        <v>1.62</v>
      </c>
      <c r="B326">
        <v>10.3</v>
      </c>
      <c r="C326">
        <v>8.75</v>
      </c>
    </row>
    <row r="327" spans="1:3" x14ac:dyDescent="0.25">
      <c r="A327">
        <v>1.625</v>
      </c>
      <c r="B327">
        <v>10.33</v>
      </c>
      <c r="C327">
        <v>8.7799999999999994</v>
      </c>
    </row>
    <row r="328" spans="1:3" x14ac:dyDescent="0.25">
      <c r="A328">
        <v>1.63</v>
      </c>
      <c r="B328">
        <v>10.36</v>
      </c>
      <c r="C328">
        <v>8.81</v>
      </c>
    </row>
    <row r="329" spans="1:3" x14ac:dyDescent="0.25">
      <c r="A329">
        <v>1.635</v>
      </c>
      <c r="B329">
        <v>10.4</v>
      </c>
      <c r="C329">
        <v>8.84</v>
      </c>
    </row>
    <row r="330" spans="1:3" x14ac:dyDescent="0.25">
      <c r="A330">
        <v>1.64</v>
      </c>
      <c r="B330">
        <v>10.43</v>
      </c>
      <c r="C330">
        <v>8.8699999999999992</v>
      </c>
    </row>
    <row r="331" spans="1:3" x14ac:dyDescent="0.25">
      <c r="A331">
        <v>1.645</v>
      </c>
      <c r="B331">
        <v>10.46</v>
      </c>
      <c r="C331">
        <v>8.89</v>
      </c>
    </row>
    <row r="332" spans="1:3" x14ac:dyDescent="0.25">
      <c r="A332">
        <v>1.65</v>
      </c>
      <c r="B332">
        <v>10.5</v>
      </c>
      <c r="C332">
        <v>8.92</v>
      </c>
    </row>
    <row r="333" spans="1:3" x14ac:dyDescent="0.25">
      <c r="A333">
        <v>1.655</v>
      </c>
      <c r="B333">
        <v>10.53</v>
      </c>
      <c r="C333">
        <v>8.9499999999999993</v>
      </c>
    </row>
    <row r="334" spans="1:3" x14ac:dyDescent="0.25">
      <c r="A334">
        <v>1.66</v>
      </c>
      <c r="B334">
        <v>10.57</v>
      </c>
      <c r="C334">
        <v>8.98</v>
      </c>
    </row>
    <row r="335" spans="1:3" x14ac:dyDescent="0.25">
      <c r="A335">
        <v>1.665</v>
      </c>
      <c r="B335">
        <v>10.6</v>
      </c>
      <c r="C335">
        <v>9.01</v>
      </c>
    </row>
    <row r="336" spans="1:3" x14ac:dyDescent="0.25">
      <c r="A336">
        <v>1.67</v>
      </c>
      <c r="B336">
        <v>10.63</v>
      </c>
      <c r="C336">
        <v>9.0399999999999991</v>
      </c>
    </row>
    <row r="337" spans="1:3" x14ac:dyDescent="0.25">
      <c r="A337">
        <v>1.675</v>
      </c>
      <c r="B337">
        <v>10.67</v>
      </c>
      <c r="C337">
        <v>9.07</v>
      </c>
    </row>
    <row r="338" spans="1:3" x14ac:dyDescent="0.25">
      <c r="A338">
        <v>1.68</v>
      </c>
      <c r="B338">
        <v>10.7</v>
      </c>
      <c r="C338">
        <v>9.1</v>
      </c>
    </row>
    <row r="339" spans="1:3" x14ac:dyDescent="0.25">
      <c r="A339">
        <v>1.6850000000000001</v>
      </c>
      <c r="B339">
        <v>10.73</v>
      </c>
      <c r="C339">
        <v>9.1199999999999992</v>
      </c>
    </row>
    <row r="340" spans="1:3" x14ac:dyDescent="0.25">
      <c r="A340">
        <v>1.69</v>
      </c>
      <c r="B340">
        <v>10.77</v>
      </c>
      <c r="C340">
        <v>9.15</v>
      </c>
    </row>
    <row r="341" spans="1:3" x14ac:dyDescent="0.25">
      <c r="A341">
        <v>1.6950000000000001</v>
      </c>
      <c r="B341">
        <v>10.8</v>
      </c>
      <c r="C341">
        <v>9.18</v>
      </c>
    </row>
    <row r="342" spans="1:3" x14ac:dyDescent="0.25">
      <c r="A342">
        <v>1.7</v>
      </c>
      <c r="B342">
        <v>10.84</v>
      </c>
      <c r="C342">
        <v>9.2100000000000009</v>
      </c>
    </row>
    <row r="343" spans="1:3" x14ac:dyDescent="0.25">
      <c r="A343">
        <v>1.7050000000000001</v>
      </c>
      <c r="B343">
        <v>10.87</v>
      </c>
      <c r="C343">
        <v>9.24</v>
      </c>
    </row>
    <row r="344" spans="1:3" x14ac:dyDescent="0.25">
      <c r="A344">
        <v>1.71</v>
      </c>
      <c r="B344">
        <v>10.9</v>
      </c>
      <c r="C344">
        <v>9.27</v>
      </c>
    </row>
    <row r="345" spans="1:3" x14ac:dyDescent="0.25">
      <c r="A345">
        <v>1.7150000000000001</v>
      </c>
      <c r="B345">
        <v>10.94</v>
      </c>
      <c r="C345">
        <v>9.3000000000000007</v>
      </c>
    </row>
    <row r="346" spans="1:3" x14ac:dyDescent="0.25">
      <c r="A346">
        <v>1.72</v>
      </c>
      <c r="B346">
        <v>10.97</v>
      </c>
      <c r="C346">
        <v>9.33</v>
      </c>
    </row>
    <row r="347" spans="1:3" x14ac:dyDescent="0.25">
      <c r="A347">
        <v>1.7250000000000001</v>
      </c>
      <c r="B347">
        <v>11</v>
      </c>
      <c r="C347">
        <v>9.35</v>
      </c>
    </row>
    <row r="348" spans="1:3" x14ac:dyDescent="0.25">
      <c r="A348">
        <v>1.73</v>
      </c>
      <c r="B348">
        <v>11.04</v>
      </c>
      <c r="C348">
        <v>9.3800000000000008</v>
      </c>
    </row>
    <row r="349" spans="1:3" x14ac:dyDescent="0.25">
      <c r="A349">
        <v>1.7350000000000001</v>
      </c>
      <c r="B349">
        <v>11.07</v>
      </c>
      <c r="C349">
        <v>9.41</v>
      </c>
    </row>
    <row r="350" spans="1:3" x14ac:dyDescent="0.25">
      <c r="A350">
        <v>1.74</v>
      </c>
      <c r="B350">
        <v>11.11</v>
      </c>
      <c r="C350">
        <v>9.44</v>
      </c>
    </row>
    <row r="351" spans="1:3" x14ac:dyDescent="0.25">
      <c r="A351">
        <v>1.7450000000000001</v>
      </c>
      <c r="B351">
        <v>11.14</v>
      </c>
      <c r="C351">
        <v>9.4700000000000006</v>
      </c>
    </row>
    <row r="352" spans="1:3" x14ac:dyDescent="0.25">
      <c r="A352">
        <v>1.75</v>
      </c>
      <c r="B352">
        <v>11.17</v>
      </c>
      <c r="C352">
        <v>9.5</v>
      </c>
    </row>
    <row r="353" spans="1:3" x14ac:dyDescent="0.25">
      <c r="A353">
        <v>1.7549999999999999</v>
      </c>
      <c r="B353">
        <v>11.21</v>
      </c>
      <c r="C353">
        <v>9.5299999999999994</v>
      </c>
    </row>
    <row r="354" spans="1:3" x14ac:dyDescent="0.25">
      <c r="A354">
        <v>1.76</v>
      </c>
      <c r="B354">
        <v>11.24</v>
      </c>
      <c r="C354">
        <v>9.5500000000000007</v>
      </c>
    </row>
    <row r="355" spans="1:3" x14ac:dyDescent="0.25">
      <c r="A355">
        <v>1.7649999999999999</v>
      </c>
      <c r="B355">
        <v>11.27</v>
      </c>
      <c r="C355">
        <v>9.58</v>
      </c>
    </row>
    <row r="356" spans="1:3" x14ac:dyDescent="0.25">
      <c r="A356">
        <v>1.77</v>
      </c>
      <c r="B356">
        <v>11.31</v>
      </c>
      <c r="C356">
        <v>9.61</v>
      </c>
    </row>
    <row r="357" spans="1:3" x14ac:dyDescent="0.25">
      <c r="A357">
        <v>1.7749999999999999</v>
      </c>
      <c r="B357">
        <v>11.34</v>
      </c>
      <c r="C357">
        <v>9.64</v>
      </c>
    </row>
    <row r="358" spans="1:3" x14ac:dyDescent="0.25">
      <c r="A358">
        <v>1.78</v>
      </c>
      <c r="B358">
        <v>11.38</v>
      </c>
      <c r="C358">
        <v>9.67</v>
      </c>
    </row>
    <row r="359" spans="1:3" x14ac:dyDescent="0.25">
      <c r="A359">
        <v>1.7849999999999999</v>
      </c>
      <c r="B359">
        <v>11.41</v>
      </c>
      <c r="C359">
        <v>9.6999999999999993</v>
      </c>
    </row>
    <row r="360" spans="1:3" x14ac:dyDescent="0.25">
      <c r="A360">
        <v>1.79</v>
      </c>
      <c r="B360">
        <v>11.44</v>
      </c>
      <c r="C360">
        <v>9.73</v>
      </c>
    </row>
    <row r="361" spans="1:3" x14ac:dyDescent="0.25">
      <c r="A361">
        <v>1.7949999999999999</v>
      </c>
      <c r="B361">
        <v>11.48</v>
      </c>
      <c r="C361">
        <v>9.76</v>
      </c>
    </row>
    <row r="362" spans="1:3" x14ac:dyDescent="0.25">
      <c r="A362">
        <v>1.8</v>
      </c>
      <c r="B362">
        <v>11.51</v>
      </c>
      <c r="C362">
        <v>9.7799999999999994</v>
      </c>
    </row>
    <row r="363" spans="1:3" x14ac:dyDescent="0.25">
      <c r="A363">
        <v>1.8049999999999999</v>
      </c>
      <c r="B363">
        <v>11.54</v>
      </c>
      <c r="C363">
        <v>9.81</v>
      </c>
    </row>
    <row r="364" spans="1:3" x14ac:dyDescent="0.25">
      <c r="A364">
        <v>1.81</v>
      </c>
      <c r="B364">
        <v>11.58</v>
      </c>
      <c r="C364">
        <v>9.84</v>
      </c>
    </row>
    <row r="365" spans="1:3" x14ac:dyDescent="0.25">
      <c r="A365">
        <v>1.8149999999999999</v>
      </c>
      <c r="B365">
        <v>11.61</v>
      </c>
      <c r="C365">
        <v>9.8699999999999992</v>
      </c>
    </row>
    <row r="366" spans="1:3" x14ac:dyDescent="0.25">
      <c r="A366">
        <v>1.82</v>
      </c>
      <c r="B366">
        <v>11.65</v>
      </c>
      <c r="C366">
        <v>9.9</v>
      </c>
    </row>
    <row r="367" spans="1:3" x14ac:dyDescent="0.25">
      <c r="A367">
        <v>1.825</v>
      </c>
      <c r="B367">
        <v>11.68</v>
      </c>
      <c r="C367">
        <v>9.93</v>
      </c>
    </row>
    <row r="368" spans="1:3" x14ac:dyDescent="0.25">
      <c r="A368">
        <v>1.83</v>
      </c>
      <c r="B368">
        <v>11.71</v>
      </c>
      <c r="C368">
        <v>9.9600000000000009</v>
      </c>
    </row>
    <row r="369" spans="1:3" x14ac:dyDescent="0.25">
      <c r="A369">
        <v>1.835</v>
      </c>
      <c r="B369">
        <v>11.75</v>
      </c>
      <c r="C369">
        <v>9.98</v>
      </c>
    </row>
    <row r="370" spans="1:3" x14ac:dyDescent="0.25">
      <c r="A370">
        <v>1.84</v>
      </c>
      <c r="B370">
        <v>11.78</v>
      </c>
      <c r="C370">
        <v>10.01</v>
      </c>
    </row>
    <row r="371" spans="1:3" x14ac:dyDescent="0.25">
      <c r="A371">
        <v>1.845</v>
      </c>
      <c r="B371">
        <v>11.81</v>
      </c>
      <c r="C371">
        <v>10.039999999999999</v>
      </c>
    </row>
    <row r="372" spans="1:3" x14ac:dyDescent="0.25">
      <c r="A372">
        <v>1.85</v>
      </c>
      <c r="B372">
        <v>11.85</v>
      </c>
      <c r="C372">
        <v>10.07</v>
      </c>
    </row>
    <row r="373" spans="1:3" x14ac:dyDescent="0.25">
      <c r="A373">
        <v>1.855</v>
      </c>
      <c r="B373">
        <v>11.88</v>
      </c>
      <c r="C373">
        <v>10.1</v>
      </c>
    </row>
    <row r="374" spans="1:3" x14ac:dyDescent="0.25">
      <c r="A374">
        <v>1.86</v>
      </c>
      <c r="B374">
        <v>11.92</v>
      </c>
      <c r="C374">
        <v>10.130000000000001</v>
      </c>
    </row>
    <row r="375" spans="1:3" x14ac:dyDescent="0.25">
      <c r="A375">
        <v>1.865</v>
      </c>
      <c r="B375">
        <v>11.95</v>
      </c>
      <c r="C375">
        <v>10.16</v>
      </c>
    </row>
    <row r="376" spans="1:3" x14ac:dyDescent="0.25">
      <c r="A376">
        <v>1.87</v>
      </c>
      <c r="B376">
        <v>11.98</v>
      </c>
      <c r="C376">
        <v>10.19</v>
      </c>
    </row>
    <row r="377" spans="1:3" x14ac:dyDescent="0.25">
      <c r="A377">
        <v>1.875</v>
      </c>
      <c r="B377">
        <v>12.02</v>
      </c>
      <c r="C377">
        <v>10.210000000000001</v>
      </c>
    </row>
    <row r="378" spans="1:3" x14ac:dyDescent="0.25">
      <c r="A378">
        <v>1.88</v>
      </c>
      <c r="B378">
        <v>12.05</v>
      </c>
      <c r="C378">
        <v>10.24</v>
      </c>
    </row>
    <row r="379" spans="1:3" x14ac:dyDescent="0.25">
      <c r="A379">
        <v>1.885</v>
      </c>
      <c r="B379">
        <v>12.08</v>
      </c>
      <c r="C379">
        <v>10.27</v>
      </c>
    </row>
    <row r="380" spans="1:3" x14ac:dyDescent="0.25">
      <c r="A380">
        <v>1.89</v>
      </c>
      <c r="B380">
        <v>12.12</v>
      </c>
      <c r="C380">
        <v>10.3</v>
      </c>
    </row>
    <row r="381" spans="1:3" x14ac:dyDescent="0.25">
      <c r="A381">
        <v>1.895</v>
      </c>
      <c r="B381">
        <v>12.15</v>
      </c>
      <c r="C381">
        <v>10.33</v>
      </c>
    </row>
    <row r="382" spans="1:3" x14ac:dyDescent="0.25">
      <c r="A382">
        <v>1.9</v>
      </c>
      <c r="B382">
        <v>12.19</v>
      </c>
      <c r="C382">
        <v>10.36</v>
      </c>
    </row>
    <row r="383" spans="1:3" x14ac:dyDescent="0.25">
      <c r="A383">
        <v>1.905</v>
      </c>
      <c r="B383">
        <v>12.22</v>
      </c>
      <c r="C383">
        <v>10.39</v>
      </c>
    </row>
    <row r="384" spans="1:3" x14ac:dyDescent="0.25">
      <c r="A384">
        <v>1.91</v>
      </c>
      <c r="B384">
        <v>12.25</v>
      </c>
      <c r="C384">
        <v>10.42</v>
      </c>
    </row>
    <row r="385" spans="1:3" x14ac:dyDescent="0.25">
      <c r="A385">
        <v>1.915</v>
      </c>
      <c r="B385">
        <v>12.29</v>
      </c>
      <c r="C385">
        <v>10.44</v>
      </c>
    </row>
    <row r="386" spans="1:3" x14ac:dyDescent="0.25">
      <c r="A386">
        <v>1.92</v>
      </c>
      <c r="B386">
        <v>12.32</v>
      </c>
      <c r="C386">
        <v>10.47</v>
      </c>
    </row>
    <row r="387" spans="1:3" x14ac:dyDescent="0.25">
      <c r="A387">
        <v>1.925</v>
      </c>
      <c r="B387">
        <v>12.35</v>
      </c>
      <c r="C387">
        <v>10.5</v>
      </c>
    </row>
    <row r="388" spans="1:3" x14ac:dyDescent="0.25">
      <c r="A388">
        <v>1.93</v>
      </c>
      <c r="B388">
        <v>12.39</v>
      </c>
      <c r="C388">
        <v>10.53</v>
      </c>
    </row>
    <row r="389" spans="1:3" x14ac:dyDescent="0.25">
      <c r="A389">
        <v>1.9350000000000001</v>
      </c>
      <c r="B389">
        <v>12.42</v>
      </c>
      <c r="C389">
        <v>10.56</v>
      </c>
    </row>
    <row r="390" spans="1:3" x14ac:dyDescent="0.25">
      <c r="A390">
        <v>1.94</v>
      </c>
      <c r="B390">
        <v>12.46</v>
      </c>
      <c r="C390">
        <v>10.59</v>
      </c>
    </row>
    <row r="391" spans="1:3" x14ac:dyDescent="0.25">
      <c r="A391">
        <v>1.9450000000000001</v>
      </c>
      <c r="B391">
        <v>12.49</v>
      </c>
      <c r="C391">
        <v>10.62</v>
      </c>
    </row>
    <row r="392" spans="1:3" x14ac:dyDescent="0.25">
      <c r="A392">
        <v>1.95</v>
      </c>
      <c r="B392">
        <v>12.52</v>
      </c>
      <c r="C392">
        <v>10.64</v>
      </c>
    </row>
    <row r="393" spans="1:3" x14ac:dyDescent="0.25">
      <c r="A393">
        <v>1.9550000000000001</v>
      </c>
      <c r="B393">
        <v>12.56</v>
      </c>
      <c r="C393">
        <v>10.67</v>
      </c>
    </row>
    <row r="394" spans="1:3" x14ac:dyDescent="0.25">
      <c r="A394">
        <v>1.96</v>
      </c>
      <c r="B394">
        <v>12.59</v>
      </c>
      <c r="C394">
        <v>10.7</v>
      </c>
    </row>
    <row r="395" spans="1:3" x14ac:dyDescent="0.25">
      <c r="A395">
        <v>1.9650000000000001</v>
      </c>
      <c r="B395">
        <v>12.62</v>
      </c>
      <c r="C395">
        <v>10.73</v>
      </c>
    </row>
    <row r="396" spans="1:3" x14ac:dyDescent="0.25">
      <c r="A396">
        <v>1.97</v>
      </c>
      <c r="B396">
        <v>12.66</v>
      </c>
      <c r="C396">
        <v>10.76</v>
      </c>
    </row>
    <row r="397" spans="1:3" x14ac:dyDescent="0.25">
      <c r="A397">
        <v>1.9750000000000001</v>
      </c>
      <c r="B397">
        <v>12.69</v>
      </c>
      <c r="C397">
        <v>10.79</v>
      </c>
    </row>
    <row r="398" spans="1:3" x14ac:dyDescent="0.25">
      <c r="A398">
        <v>1.98</v>
      </c>
      <c r="B398">
        <v>12.73</v>
      </c>
      <c r="C398">
        <v>10.82</v>
      </c>
    </row>
    <row r="399" spans="1:3" x14ac:dyDescent="0.25">
      <c r="A399">
        <v>1.9850000000000001</v>
      </c>
      <c r="B399">
        <v>12.76</v>
      </c>
      <c r="C399">
        <v>10.85</v>
      </c>
    </row>
    <row r="400" spans="1:3" x14ac:dyDescent="0.25">
      <c r="A400">
        <v>1.99</v>
      </c>
      <c r="B400">
        <v>12.79</v>
      </c>
      <c r="C400">
        <v>10.87</v>
      </c>
    </row>
    <row r="401" spans="1:3" x14ac:dyDescent="0.25">
      <c r="A401">
        <v>1.9950000000000001</v>
      </c>
      <c r="B401">
        <v>12.83</v>
      </c>
      <c r="C401">
        <v>10.9</v>
      </c>
    </row>
    <row r="402" spans="1:3" x14ac:dyDescent="0.25">
      <c r="A402">
        <v>2</v>
      </c>
      <c r="B402">
        <v>12.86</v>
      </c>
      <c r="C402">
        <v>10.93</v>
      </c>
    </row>
    <row r="403" spans="1:3" x14ac:dyDescent="0.25">
      <c r="A403">
        <v>2.0049999999999999</v>
      </c>
      <c r="B403">
        <v>12.89</v>
      </c>
      <c r="C403">
        <v>10.96</v>
      </c>
    </row>
    <row r="404" spans="1:3" x14ac:dyDescent="0.25">
      <c r="A404">
        <v>2.0099999999999998</v>
      </c>
      <c r="B404">
        <v>12.93</v>
      </c>
      <c r="C404">
        <v>10.99</v>
      </c>
    </row>
    <row r="405" spans="1:3" x14ac:dyDescent="0.25">
      <c r="A405">
        <v>2.0150000000000001</v>
      </c>
      <c r="B405">
        <v>12.96</v>
      </c>
      <c r="C405">
        <v>11.02</v>
      </c>
    </row>
    <row r="406" spans="1:3" x14ac:dyDescent="0.25">
      <c r="A406">
        <v>2.02</v>
      </c>
      <c r="B406">
        <v>13</v>
      </c>
      <c r="C406">
        <v>11.05</v>
      </c>
    </row>
    <row r="407" spans="1:3" x14ac:dyDescent="0.25">
      <c r="A407">
        <v>2.0249999999999999</v>
      </c>
      <c r="B407">
        <v>13.03</v>
      </c>
      <c r="C407">
        <v>11.07</v>
      </c>
    </row>
    <row r="408" spans="1:3" x14ac:dyDescent="0.25">
      <c r="A408">
        <v>2.0299999999999998</v>
      </c>
      <c r="B408">
        <v>13.06</v>
      </c>
      <c r="C408">
        <v>11.1</v>
      </c>
    </row>
    <row r="409" spans="1:3" x14ac:dyDescent="0.25">
      <c r="A409">
        <v>2.0299999999999998</v>
      </c>
      <c r="B409">
        <v>13.06</v>
      </c>
      <c r="C409">
        <v>11.1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C484-3981-4D60-88E2-279A12E16FEA}">
  <dimension ref="A1:AI409"/>
  <sheetViews>
    <sheetView workbookViewId="0">
      <selection activeCell="F22" sqref="F22"/>
    </sheetView>
  </sheetViews>
  <sheetFormatPr defaultRowHeight="15" x14ac:dyDescent="0.25"/>
  <cols>
    <col min="1" max="1" width="8.42578125" bestFit="1" customWidth="1"/>
    <col min="2" max="2" width="11.7109375" bestFit="1" customWidth="1"/>
    <col min="4" max="4" width="16.5703125" bestFit="1" customWidth="1"/>
    <col min="6" max="6" width="13.7109375" bestFit="1" customWidth="1"/>
    <col min="9" max="9" width="11.7109375" bestFit="1" customWidth="1"/>
    <col min="13" max="13" width="11.7109375" bestFit="1" customWidth="1"/>
  </cols>
  <sheetData>
    <row r="1" spans="1:35" x14ac:dyDescent="0.25">
      <c r="A1" s="1" t="s">
        <v>6</v>
      </c>
      <c r="B1" s="1" t="s">
        <v>12</v>
      </c>
      <c r="C1" t="s">
        <v>28</v>
      </c>
      <c r="D1" t="s">
        <v>45</v>
      </c>
      <c r="F1" t="s">
        <v>46</v>
      </c>
      <c r="H1" s="9" t="s">
        <v>6</v>
      </c>
      <c r="I1" t="s">
        <v>12</v>
      </c>
      <c r="J1" t="s">
        <v>45</v>
      </c>
      <c r="L1" s="1" t="s">
        <v>6</v>
      </c>
      <c r="M1" s="1" t="s">
        <v>12</v>
      </c>
      <c r="AF1" s="9" t="s">
        <v>6</v>
      </c>
      <c r="AG1" s="9" t="s">
        <v>12</v>
      </c>
      <c r="AH1" t="s">
        <v>12</v>
      </c>
      <c r="AI1" t="s">
        <v>45</v>
      </c>
    </row>
    <row r="2" spans="1:35" x14ac:dyDescent="0.25">
      <c r="A2">
        <v>0</v>
      </c>
      <c r="B2">
        <v>0.03</v>
      </c>
      <c r="C2">
        <v>0.02</v>
      </c>
      <c r="D2">
        <f>M2-B2</f>
        <v>0</v>
      </c>
      <c r="F2">
        <f>B2+D2</f>
        <v>0.03</v>
      </c>
      <c r="H2">
        <v>0</v>
      </c>
      <c r="I2" s="11">
        <v>0.03</v>
      </c>
      <c r="J2" s="12">
        <v>1.0000000000000002E-2</v>
      </c>
      <c r="L2">
        <v>0</v>
      </c>
      <c r="M2" s="10">
        <f>$I$2 + (L2/$H$3) * ($I$3 - $I$2)</f>
        <v>0.03</v>
      </c>
      <c r="AF2">
        <v>0</v>
      </c>
      <c r="AG2">
        <v>0.03</v>
      </c>
      <c r="AH2" s="11">
        <v>0.04</v>
      </c>
      <c r="AI2">
        <f>AH2-AG2</f>
        <v>1.0000000000000002E-2</v>
      </c>
    </row>
    <row r="3" spans="1:35" x14ac:dyDescent="0.25">
      <c r="A3">
        <v>5.0000000000000001E-3</v>
      </c>
      <c r="B3">
        <v>0.03</v>
      </c>
      <c r="C3">
        <v>0.03</v>
      </c>
      <c r="D3">
        <f>M3-B3</f>
        <v>1.0000000000000002E-2</v>
      </c>
      <c r="F3">
        <f t="shared" ref="F3:F22" si="0">B3+D3</f>
        <v>0.04</v>
      </c>
      <c r="H3">
        <v>0.1</v>
      </c>
      <c r="I3" s="11">
        <v>0.23</v>
      </c>
      <c r="J3" s="12">
        <v>-0.03</v>
      </c>
      <c r="L3">
        <v>5.0000000000000001E-3</v>
      </c>
      <c r="M3" s="10">
        <f t="shared" ref="M3:M22" si="1">$I$2 + (L3/$H$3) * ($I$3 - $I$2)</f>
        <v>0.04</v>
      </c>
      <c r="AF3">
        <v>0.1</v>
      </c>
      <c r="AG3">
        <v>0.26</v>
      </c>
      <c r="AH3" s="11">
        <v>0.23</v>
      </c>
      <c r="AI3">
        <f t="shared" ref="AI3:AI23" si="2">AH3-AG3</f>
        <v>-0.03</v>
      </c>
    </row>
    <row r="4" spans="1:35" x14ac:dyDescent="0.25">
      <c r="A4">
        <v>0.01</v>
      </c>
      <c r="B4">
        <v>0.04</v>
      </c>
      <c r="C4">
        <v>0.03</v>
      </c>
      <c r="D4">
        <f t="shared" ref="D4:D22" si="3">M4-B4</f>
        <v>1.0000000000000002E-2</v>
      </c>
      <c r="F4">
        <f t="shared" si="0"/>
        <v>0.05</v>
      </c>
      <c r="H4">
        <v>0.2</v>
      </c>
      <c r="I4" s="11">
        <v>0.85</v>
      </c>
      <c r="J4" s="12">
        <v>0.12</v>
      </c>
      <c r="L4">
        <v>0.01</v>
      </c>
      <c r="M4" s="10">
        <f t="shared" si="1"/>
        <v>0.05</v>
      </c>
      <c r="AF4">
        <v>0.2</v>
      </c>
      <c r="AG4">
        <v>0.73</v>
      </c>
      <c r="AH4" s="11">
        <v>0.85</v>
      </c>
      <c r="AI4">
        <f t="shared" si="2"/>
        <v>0.12</v>
      </c>
    </row>
    <row r="5" spans="1:35" x14ac:dyDescent="0.25">
      <c r="A5">
        <v>1.4999999999999999E-2</v>
      </c>
      <c r="B5">
        <v>0.05</v>
      </c>
      <c r="C5">
        <v>0.04</v>
      </c>
      <c r="D5">
        <f t="shared" si="3"/>
        <v>9.999999999999995E-3</v>
      </c>
      <c r="F5">
        <f t="shared" si="0"/>
        <v>0.06</v>
      </c>
      <c r="H5">
        <v>0.3</v>
      </c>
      <c r="I5" s="11">
        <v>1.1499999999999999</v>
      </c>
      <c r="J5" s="12">
        <v>-0.24</v>
      </c>
      <c r="L5">
        <v>1.4999999999999999E-2</v>
      </c>
      <c r="M5" s="10">
        <f t="shared" si="1"/>
        <v>0.06</v>
      </c>
      <c r="AF5">
        <v>0.3</v>
      </c>
      <c r="AG5">
        <v>1.39</v>
      </c>
      <c r="AH5" s="11">
        <v>1.1499999999999999</v>
      </c>
      <c r="AI5">
        <f t="shared" si="2"/>
        <v>-0.24</v>
      </c>
    </row>
    <row r="6" spans="1:35" x14ac:dyDescent="0.25">
      <c r="A6">
        <v>0.02</v>
      </c>
      <c r="B6">
        <v>0.05</v>
      </c>
      <c r="C6">
        <v>0.05</v>
      </c>
      <c r="D6">
        <f t="shared" si="3"/>
        <v>2.0000000000000004E-2</v>
      </c>
      <c r="F6">
        <f t="shared" si="0"/>
        <v>7.0000000000000007E-2</v>
      </c>
      <c r="H6">
        <v>0.4</v>
      </c>
      <c r="I6" s="11">
        <v>2</v>
      </c>
      <c r="J6" s="12">
        <v>-6.0000000000000053E-2</v>
      </c>
      <c r="L6">
        <v>0.02</v>
      </c>
      <c r="M6" s="10">
        <f t="shared" si="1"/>
        <v>7.0000000000000007E-2</v>
      </c>
      <c r="AF6">
        <v>0.4</v>
      </c>
      <c r="AG6">
        <v>2.06</v>
      </c>
      <c r="AH6" s="11">
        <v>2</v>
      </c>
      <c r="AI6">
        <f t="shared" si="2"/>
        <v>-6.0000000000000053E-2</v>
      </c>
    </row>
    <row r="7" spans="1:35" x14ac:dyDescent="0.25">
      <c r="A7">
        <v>2.5000000000000001E-2</v>
      </c>
      <c r="B7">
        <v>0.06</v>
      </c>
      <c r="C7">
        <v>0.05</v>
      </c>
      <c r="D7">
        <f t="shared" si="3"/>
        <v>2.0000000000000004E-2</v>
      </c>
      <c r="F7">
        <f t="shared" si="0"/>
        <v>0.08</v>
      </c>
      <c r="H7">
        <v>0.5</v>
      </c>
      <c r="I7" s="11">
        <v>2.5</v>
      </c>
      <c r="J7" s="12">
        <v>-0.24000000000000021</v>
      </c>
      <c r="L7">
        <v>2.5000000000000001E-2</v>
      </c>
      <c r="M7" s="10">
        <f t="shared" si="1"/>
        <v>0.08</v>
      </c>
      <c r="AF7">
        <v>0.5</v>
      </c>
      <c r="AG7">
        <v>2.74</v>
      </c>
      <c r="AH7" s="11">
        <v>2.5</v>
      </c>
      <c r="AI7">
        <f t="shared" si="2"/>
        <v>-0.24000000000000021</v>
      </c>
    </row>
    <row r="8" spans="1:35" x14ac:dyDescent="0.25">
      <c r="A8">
        <v>0.03</v>
      </c>
      <c r="B8">
        <v>7.0000000000000007E-2</v>
      </c>
      <c r="C8">
        <v>0.06</v>
      </c>
      <c r="D8">
        <f t="shared" si="3"/>
        <v>1.999999999999999E-2</v>
      </c>
      <c r="F8">
        <f t="shared" si="0"/>
        <v>0.09</v>
      </c>
      <c r="H8">
        <v>0.6</v>
      </c>
      <c r="I8" s="11">
        <v>3.23</v>
      </c>
      <c r="J8" s="12">
        <v>-0.18000000000000016</v>
      </c>
      <c r="L8">
        <v>0.03</v>
      </c>
      <c r="M8" s="10">
        <f t="shared" si="1"/>
        <v>0.09</v>
      </c>
      <c r="AF8">
        <v>0.6</v>
      </c>
      <c r="AG8">
        <v>3.41</v>
      </c>
      <c r="AH8" s="11">
        <v>3.23</v>
      </c>
      <c r="AI8">
        <f t="shared" si="2"/>
        <v>-0.18000000000000016</v>
      </c>
    </row>
    <row r="9" spans="1:35" x14ac:dyDescent="0.25">
      <c r="A9">
        <v>3.5000000000000003E-2</v>
      </c>
      <c r="B9">
        <v>0.08</v>
      </c>
      <c r="C9">
        <v>7.0000000000000007E-2</v>
      </c>
      <c r="D9">
        <f t="shared" si="3"/>
        <v>2.0000000000000004E-2</v>
      </c>
      <c r="F9">
        <f t="shared" si="0"/>
        <v>0.1</v>
      </c>
      <c r="H9">
        <v>0.7</v>
      </c>
      <c r="I9" s="11">
        <v>4.25</v>
      </c>
      <c r="J9" s="12">
        <v>0.16000000000000014</v>
      </c>
      <c r="L9">
        <v>3.5000000000000003E-2</v>
      </c>
      <c r="M9" s="10">
        <f t="shared" si="1"/>
        <v>0.1</v>
      </c>
      <c r="AF9">
        <v>0.7</v>
      </c>
      <c r="AG9">
        <v>4.09</v>
      </c>
      <c r="AH9" s="11">
        <v>4.25</v>
      </c>
      <c r="AI9">
        <f t="shared" si="2"/>
        <v>0.16000000000000014</v>
      </c>
    </row>
    <row r="10" spans="1:35" x14ac:dyDescent="0.25">
      <c r="A10">
        <v>0.04</v>
      </c>
      <c r="B10">
        <v>0.09</v>
      </c>
      <c r="C10">
        <v>0.08</v>
      </c>
      <c r="D10">
        <f t="shared" si="3"/>
        <v>2.0000000000000004E-2</v>
      </c>
      <c r="F10">
        <f t="shared" si="0"/>
        <v>0.11</v>
      </c>
      <c r="H10">
        <v>0.8</v>
      </c>
      <c r="I10" s="11">
        <v>4.9000000000000004</v>
      </c>
      <c r="J10" s="12">
        <v>0.14000000000000101</v>
      </c>
      <c r="L10">
        <v>0.04</v>
      </c>
      <c r="M10" s="10">
        <f t="shared" si="1"/>
        <v>0.11</v>
      </c>
      <c r="AF10">
        <v>0.8</v>
      </c>
      <c r="AG10">
        <v>4.76</v>
      </c>
      <c r="AH10" s="11">
        <v>4.9000000000000004</v>
      </c>
      <c r="AI10">
        <f t="shared" si="2"/>
        <v>0.14000000000000057</v>
      </c>
    </row>
    <row r="11" spans="1:35" x14ac:dyDescent="0.25">
      <c r="A11">
        <v>4.4999999999999998E-2</v>
      </c>
      <c r="B11">
        <v>0.1</v>
      </c>
      <c r="C11">
        <v>0.09</v>
      </c>
      <c r="D11">
        <f t="shared" si="3"/>
        <v>1.999999999999999E-2</v>
      </c>
      <c r="F11">
        <f t="shared" si="0"/>
        <v>0.12</v>
      </c>
      <c r="H11">
        <v>0.9</v>
      </c>
      <c r="I11" s="11">
        <v>5.25</v>
      </c>
      <c r="J11" s="12">
        <v>-0.19000000000000039</v>
      </c>
      <c r="L11">
        <v>4.4999999999999998E-2</v>
      </c>
      <c r="M11" s="10">
        <f t="shared" si="1"/>
        <v>0.12</v>
      </c>
      <c r="AF11">
        <v>0.9</v>
      </c>
      <c r="AG11">
        <v>5.44</v>
      </c>
      <c r="AH11" s="11">
        <v>5.25</v>
      </c>
      <c r="AI11">
        <f t="shared" si="2"/>
        <v>-0.19000000000000039</v>
      </c>
    </row>
    <row r="12" spans="1:35" x14ac:dyDescent="0.25">
      <c r="A12">
        <v>0.05</v>
      </c>
      <c r="B12">
        <v>0.11</v>
      </c>
      <c r="C12">
        <v>0.1</v>
      </c>
      <c r="D12">
        <f t="shared" si="3"/>
        <v>2.0000000000000004E-2</v>
      </c>
      <c r="F12">
        <f t="shared" si="0"/>
        <v>0.13</v>
      </c>
      <c r="H12">
        <v>1</v>
      </c>
      <c r="I12" s="11">
        <v>6</v>
      </c>
      <c r="J12" s="12">
        <v>-0.11000000000000032</v>
      </c>
      <c r="L12">
        <v>0.05</v>
      </c>
      <c r="M12" s="10">
        <f t="shared" si="1"/>
        <v>0.13</v>
      </c>
      <c r="AF12">
        <v>1</v>
      </c>
      <c r="AG12">
        <v>6.11</v>
      </c>
      <c r="AH12" s="11">
        <v>6</v>
      </c>
      <c r="AI12">
        <f t="shared" si="2"/>
        <v>-0.11000000000000032</v>
      </c>
    </row>
    <row r="13" spans="1:35" x14ac:dyDescent="0.25">
      <c r="A13">
        <v>5.5E-2</v>
      </c>
      <c r="B13">
        <v>0.12</v>
      </c>
      <c r="C13">
        <v>0.11</v>
      </c>
      <c r="D13">
        <f t="shared" si="3"/>
        <v>1.999999999999999E-2</v>
      </c>
      <c r="F13">
        <f t="shared" si="0"/>
        <v>0.13999999999999999</v>
      </c>
      <c r="H13">
        <v>1.1000000000000001</v>
      </c>
      <c r="I13" s="11">
        <v>6.5</v>
      </c>
      <c r="J13" s="12">
        <v>-0.28999999999999998</v>
      </c>
      <c r="L13">
        <v>5.5E-2</v>
      </c>
      <c r="M13" s="10">
        <f t="shared" si="1"/>
        <v>0.13999999999999999</v>
      </c>
      <c r="AF13">
        <v>1.1000000000000001</v>
      </c>
      <c r="AG13">
        <v>6.79</v>
      </c>
      <c r="AH13" s="11">
        <v>6.5</v>
      </c>
      <c r="AI13">
        <f t="shared" si="2"/>
        <v>-0.29000000000000004</v>
      </c>
    </row>
    <row r="14" spans="1:35" x14ac:dyDescent="0.25">
      <c r="A14">
        <v>0.06</v>
      </c>
      <c r="B14">
        <v>0.14000000000000001</v>
      </c>
      <c r="C14">
        <v>0.12</v>
      </c>
      <c r="D14">
        <f t="shared" si="3"/>
        <v>9.9999999999999811E-3</v>
      </c>
      <c r="F14">
        <f t="shared" si="0"/>
        <v>0.15</v>
      </c>
      <c r="H14">
        <v>1.2</v>
      </c>
      <c r="I14" s="11">
        <v>7.35</v>
      </c>
      <c r="J14" s="12">
        <v>-0.11000000000000032</v>
      </c>
      <c r="L14">
        <v>0.06</v>
      </c>
      <c r="M14" s="10">
        <f t="shared" si="1"/>
        <v>0.15</v>
      </c>
      <c r="AF14">
        <v>1.2</v>
      </c>
      <c r="AG14">
        <v>7.46</v>
      </c>
      <c r="AH14" s="11">
        <v>7.35</v>
      </c>
      <c r="AI14">
        <f t="shared" si="2"/>
        <v>-0.11000000000000032</v>
      </c>
    </row>
    <row r="15" spans="1:35" x14ac:dyDescent="0.25">
      <c r="A15">
        <v>6.5000000000000002E-2</v>
      </c>
      <c r="B15">
        <v>0.15</v>
      </c>
      <c r="C15">
        <v>0.13</v>
      </c>
      <c r="D15">
        <f t="shared" si="3"/>
        <v>1.0000000000000009E-2</v>
      </c>
      <c r="F15">
        <f t="shared" si="0"/>
        <v>0.16</v>
      </c>
      <c r="H15">
        <v>1.3</v>
      </c>
      <c r="I15" s="11">
        <v>8</v>
      </c>
      <c r="J15" s="12">
        <v>-0.14000000000000057</v>
      </c>
      <c r="L15">
        <v>6.5000000000000002E-2</v>
      </c>
      <c r="M15" s="10">
        <f t="shared" si="1"/>
        <v>0.16</v>
      </c>
      <c r="AF15">
        <v>1.3</v>
      </c>
      <c r="AG15">
        <v>8.14</v>
      </c>
      <c r="AH15" s="11">
        <v>8</v>
      </c>
      <c r="AI15">
        <f t="shared" si="2"/>
        <v>-0.14000000000000057</v>
      </c>
    </row>
    <row r="16" spans="1:35" x14ac:dyDescent="0.25">
      <c r="A16">
        <v>7.0000000000000007E-2</v>
      </c>
      <c r="B16">
        <v>0.16</v>
      </c>
      <c r="C16">
        <v>0.14000000000000001</v>
      </c>
      <c r="D16">
        <f t="shared" si="3"/>
        <v>1.0000000000000009E-2</v>
      </c>
      <c r="F16">
        <f t="shared" si="0"/>
        <v>0.17</v>
      </c>
      <c r="H16">
        <v>1.4</v>
      </c>
      <c r="I16" s="11">
        <v>9</v>
      </c>
      <c r="J16" s="12">
        <v>0.1899999999999995</v>
      </c>
      <c r="L16">
        <v>7.0000000000000007E-2</v>
      </c>
      <c r="M16" s="10">
        <f t="shared" si="1"/>
        <v>0.17</v>
      </c>
      <c r="AF16">
        <v>1.4</v>
      </c>
      <c r="AG16">
        <v>8.81</v>
      </c>
      <c r="AH16" s="11">
        <v>9</v>
      </c>
      <c r="AI16">
        <f t="shared" si="2"/>
        <v>0.1899999999999995</v>
      </c>
    </row>
    <row r="17" spans="1:35" x14ac:dyDescent="0.25">
      <c r="A17">
        <v>7.4999999999999997E-2</v>
      </c>
      <c r="B17">
        <v>0.18</v>
      </c>
      <c r="C17">
        <v>0.15</v>
      </c>
      <c r="D17">
        <f t="shared" si="3"/>
        <v>0</v>
      </c>
      <c r="F17">
        <f t="shared" si="0"/>
        <v>0.18</v>
      </c>
      <c r="H17">
        <v>1.5</v>
      </c>
      <c r="I17" s="11">
        <v>9.5</v>
      </c>
      <c r="J17" s="12">
        <v>9.9999999999997868E-3</v>
      </c>
      <c r="L17">
        <v>7.4999999999999997E-2</v>
      </c>
      <c r="M17" s="10">
        <f t="shared" si="1"/>
        <v>0.18</v>
      </c>
      <c r="AF17">
        <v>1.5</v>
      </c>
      <c r="AG17">
        <v>9.49</v>
      </c>
      <c r="AH17" s="11">
        <v>9.5</v>
      </c>
      <c r="AI17">
        <f t="shared" si="2"/>
        <v>9.9999999999997868E-3</v>
      </c>
    </row>
    <row r="18" spans="1:35" x14ac:dyDescent="0.25">
      <c r="A18">
        <v>0.08</v>
      </c>
      <c r="B18">
        <v>0.19</v>
      </c>
      <c r="C18">
        <v>0.16</v>
      </c>
      <c r="D18">
        <f t="shared" si="3"/>
        <v>0</v>
      </c>
      <c r="F18">
        <f t="shared" si="0"/>
        <v>0.19</v>
      </c>
      <c r="H18">
        <v>1.6</v>
      </c>
      <c r="I18" s="11">
        <v>10</v>
      </c>
      <c r="J18" s="12">
        <v>-0.16000000000000014</v>
      </c>
      <c r="L18">
        <v>0.08</v>
      </c>
      <c r="M18" s="10">
        <f t="shared" si="1"/>
        <v>0.19</v>
      </c>
      <c r="AF18">
        <v>1.6</v>
      </c>
      <c r="AG18">
        <v>10.16</v>
      </c>
      <c r="AH18" s="11">
        <v>10</v>
      </c>
      <c r="AI18">
        <f t="shared" si="2"/>
        <v>-0.16000000000000014</v>
      </c>
    </row>
    <row r="19" spans="1:35" x14ac:dyDescent="0.25">
      <c r="A19">
        <v>8.5000000000000006E-2</v>
      </c>
      <c r="B19">
        <v>0.21</v>
      </c>
      <c r="C19">
        <v>0.18</v>
      </c>
      <c r="D19">
        <f t="shared" si="3"/>
        <v>-9.9999999999999811E-3</v>
      </c>
      <c r="F19">
        <f t="shared" si="0"/>
        <v>0.2</v>
      </c>
      <c r="H19">
        <v>1.7</v>
      </c>
      <c r="I19" s="11">
        <v>10.95</v>
      </c>
      <c r="J19" s="12">
        <v>0.10999999999999943</v>
      </c>
      <c r="L19">
        <v>8.5000000000000006E-2</v>
      </c>
      <c r="M19" s="10">
        <f t="shared" si="1"/>
        <v>0.2</v>
      </c>
      <c r="AF19">
        <v>1.7</v>
      </c>
      <c r="AG19">
        <v>10.84</v>
      </c>
      <c r="AH19" s="11">
        <v>10.95</v>
      </c>
      <c r="AI19">
        <f t="shared" si="2"/>
        <v>0.10999999999999943</v>
      </c>
    </row>
    <row r="20" spans="1:35" x14ac:dyDescent="0.25">
      <c r="A20">
        <v>0.09</v>
      </c>
      <c r="B20">
        <v>0.22</v>
      </c>
      <c r="C20">
        <v>0.19</v>
      </c>
      <c r="D20">
        <f t="shared" si="3"/>
        <v>-1.0000000000000009E-2</v>
      </c>
      <c r="F20">
        <f t="shared" si="0"/>
        <v>0.21</v>
      </c>
      <c r="H20">
        <v>1.8</v>
      </c>
      <c r="I20" s="11">
        <v>11.8</v>
      </c>
      <c r="J20" s="12">
        <v>0.29000000000000092</v>
      </c>
      <c r="L20">
        <v>0.09</v>
      </c>
      <c r="M20" s="10">
        <f t="shared" si="1"/>
        <v>0.21</v>
      </c>
      <c r="AF20">
        <v>1.8</v>
      </c>
      <c r="AG20">
        <v>11.51</v>
      </c>
      <c r="AH20" s="11">
        <v>11.8</v>
      </c>
      <c r="AI20">
        <f t="shared" si="2"/>
        <v>0.29000000000000092</v>
      </c>
    </row>
    <row r="21" spans="1:35" x14ac:dyDescent="0.25">
      <c r="A21">
        <v>9.5000000000000001E-2</v>
      </c>
      <c r="B21">
        <v>0.24</v>
      </c>
      <c r="C21">
        <v>0.2</v>
      </c>
      <c r="D21">
        <f t="shared" si="3"/>
        <v>-1.999999999999999E-2</v>
      </c>
      <c r="F21">
        <f t="shared" si="0"/>
        <v>0.22</v>
      </c>
      <c r="H21">
        <v>1.9</v>
      </c>
      <c r="I21" s="11">
        <v>12</v>
      </c>
      <c r="J21" s="12">
        <v>-0.1899999999999995</v>
      </c>
      <c r="L21">
        <v>9.5000000000000001E-2</v>
      </c>
      <c r="M21" s="10">
        <f t="shared" si="1"/>
        <v>0.22</v>
      </c>
      <c r="AF21">
        <v>1.9</v>
      </c>
      <c r="AG21">
        <v>12.19</v>
      </c>
      <c r="AH21" s="11">
        <v>12</v>
      </c>
      <c r="AI21">
        <f t="shared" si="2"/>
        <v>-0.1899999999999995</v>
      </c>
    </row>
    <row r="22" spans="1:35" x14ac:dyDescent="0.25">
      <c r="A22">
        <v>0.1</v>
      </c>
      <c r="B22">
        <v>0.26</v>
      </c>
      <c r="C22">
        <v>0.22</v>
      </c>
      <c r="D22">
        <f t="shared" si="3"/>
        <v>-0.03</v>
      </c>
      <c r="F22">
        <f t="shared" si="0"/>
        <v>0.23</v>
      </c>
      <c r="H22">
        <v>2</v>
      </c>
      <c r="I22" s="11">
        <v>12.5</v>
      </c>
      <c r="J22" s="12">
        <v>-0.35999999999999943</v>
      </c>
      <c r="L22">
        <v>0.1</v>
      </c>
      <c r="M22" s="10">
        <f t="shared" si="1"/>
        <v>0.23</v>
      </c>
      <c r="AF22">
        <v>2</v>
      </c>
      <c r="AG22">
        <v>12.86</v>
      </c>
      <c r="AH22" s="11">
        <v>12.5</v>
      </c>
      <c r="AI22">
        <f t="shared" si="2"/>
        <v>-0.35999999999999943</v>
      </c>
    </row>
    <row r="23" spans="1:35" x14ac:dyDescent="0.25">
      <c r="A23">
        <v>0.105</v>
      </c>
      <c r="B23">
        <v>0.28000000000000003</v>
      </c>
      <c r="C23">
        <v>0.23</v>
      </c>
      <c r="H23">
        <v>2.0299999999999998</v>
      </c>
      <c r="I23" s="11">
        <v>13</v>
      </c>
      <c r="J23" s="12">
        <v>-6.0000000000000497E-2</v>
      </c>
      <c r="L23">
        <v>0.105</v>
      </c>
      <c r="M23">
        <v>0.28000000000000003</v>
      </c>
      <c r="AF23">
        <v>2.0299999999999998</v>
      </c>
      <c r="AG23">
        <v>13.06</v>
      </c>
      <c r="AH23" s="11">
        <v>13</v>
      </c>
      <c r="AI23">
        <f t="shared" si="2"/>
        <v>-6.0000000000000497E-2</v>
      </c>
    </row>
    <row r="24" spans="1:35" x14ac:dyDescent="0.25">
      <c r="A24">
        <v>0.11</v>
      </c>
      <c r="B24">
        <v>0.28999999999999998</v>
      </c>
      <c r="C24">
        <v>0.25</v>
      </c>
      <c r="L24">
        <v>0.11</v>
      </c>
      <c r="M24">
        <v>0.28999999999999998</v>
      </c>
    </row>
    <row r="25" spans="1:35" x14ac:dyDescent="0.25">
      <c r="A25">
        <v>0.115</v>
      </c>
      <c r="B25">
        <v>0.31</v>
      </c>
      <c r="C25">
        <v>0.27</v>
      </c>
      <c r="L25">
        <v>0.115</v>
      </c>
      <c r="M25">
        <v>0.31</v>
      </c>
    </row>
    <row r="26" spans="1:35" x14ac:dyDescent="0.25">
      <c r="A26">
        <v>0.12</v>
      </c>
      <c r="B26">
        <v>0.33</v>
      </c>
      <c r="C26">
        <v>0.28000000000000003</v>
      </c>
      <c r="L26">
        <v>0.12</v>
      </c>
      <c r="M26">
        <v>0.33</v>
      </c>
    </row>
    <row r="27" spans="1:35" x14ac:dyDescent="0.25">
      <c r="A27">
        <v>0.125</v>
      </c>
      <c r="B27">
        <v>0.35</v>
      </c>
      <c r="C27">
        <v>0.3</v>
      </c>
      <c r="L27">
        <v>0.125</v>
      </c>
      <c r="M27">
        <v>0.35</v>
      </c>
    </row>
    <row r="28" spans="1:35" x14ac:dyDescent="0.25">
      <c r="A28">
        <v>0.13</v>
      </c>
      <c r="B28">
        <v>0.37</v>
      </c>
      <c r="C28">
        <v>0.32</v>
      </c>
      <c r="L28">
        <v>0.13</v>
      </c>
      <c r="M28">
        <v>0.37</v>
      </c>
    </row>
    <row r="29" spans="1:35" x14ac:dyDescent="0.25">
      <c r="A29">
        <v>0.13500000000000001</v>
      </c>
      <c r="B29">
        <v>0.4</v>
      </c>
      <c r="C29">
        <v>0.34</v>
      </c>
      <c r="L29">
        <v>0.13500000000000001</v>
      </c>
      <c r="M29">
        <v>0.4</v>
      </c>
    </row>
    <row r="30" spans="1:35" x14ac:dyDescent="0.25">
      <c r="A30">
        <v>0.14000000000000001</v>
      </c>
      <c r="B30">
        <v>0.42</v>
      </c>
      <c r="C30">
        <v>0.35</v>
      </c>
      <c r="L30">
        <v>0.14000000000000001</v>
      </c>
      <c r="M30">
        <v>0.42</v>
      </c>
    </row>
    <row r="31" spans="1:35" x14ac:dyDescent="0.25">
      <c r="A31">
        <v>0.14499999999999999</v>
      </c>
      <c r="B31">
        <v>0.44</v>
      </c>
      <c r="C31">
        <v>0.37</v>
      </c>
      <c r="L31">
        <v>0.14499999999999999</v>
      </c>
      <c r="M31">
        <v>0.44</v>
      </c>
    </row>
    <row r="32" spans="1:35" x14ac:dyDescent="0.25">
      <c r="A32">
        <v>0.15</v>
      </c>
      <c r="B32">
        <v>0.46</v>
      </c>
      <c r="C32">
        <v>0.39</v>
      </c>
      <c r="L32">
        <v>0.15</v>
      </c>
      <c r="M32">
        <v>0.46</v>
      </c>
    </row>
    <row r="33" spans="1:13" x14ac:dyDescent="0.25">
      <c r="A33">
        <v>0.155</v>
      </c>
      <c r="B33">
        <v>0.49</v>
      </c>
      <c r="C33">
        <v>0.41</v>
      </c>
      <c r="L33">
        <v>0.155</v>
      </c>
      <c r="M33">
        <v>0.49</v>
      </c>
    </row>
    <row r="34" spans="1:13" x14ac:dyDescent="0.25">
      <c r="A34">
        <v>0.16</v>
      </c>
      <c r="B34">
        <v>0.51</v>
      </c>
      <c r="C34">
        <v>0.43</v>
      </c>
      <c r="L34">
        <v>0.16</v>
      </c>
      <c r="M34">
        <v>0.51</v>
      </c>
    </row>
    <row r="35" spans="1:13" x14ac:dyDescent="0.25">
      <c r="A35">
        <v>0.16500000000000001</v>
      </c>
      <c r="B35">
        <v>0.54</v>
      </c>
      <c r="C35">
        <v>0.46</v>
      </c>
      <c r="L35">
        <v>0.16500000000000001</v>
      </c>
      <c r="M35">
        <v>0.54</v>
      </c>
    </row>
    <row r="36" spans="1:13" x14ac:dyDescent="0.25">
      <c r="A36">
        <v>0.17</v>
      </c>
      <c r="B36">
        <v>0.56000000000000005</v>
      </c>
      <c r="C36">
        <v>0.48</v>
      </c>
      <c r="L36">
        <v>0.17</v>
      </c>
      <c r="M36">
        <v>0.56000000000000005</v>
      </c>
    </row>
    <row r="37" spans="1:13" x14ac:dyDescent="0.25">
      <c r="A37">
        <v>0.17499999999999999</v>
      </c>
      <c r="B37">
        <v>0.59</v>
      </c>
      <c r="C37">
        <v>0.5</v>
      </c>
      <c r="L37">
        <v>0.17499999999999999</v>
      </c>
      <c r="M37">
        <v>0.59</v>
      </c>
    </row>
    <row r="38" spans="1:13" x14ac:dyDescent="0.25">
      <c r="A38">
        <v>0.18</v>
      </c>
      <c r="B38">
        <v>0.61</v>
      </c>
      <c r="C38">
        <v>0.52</v>
      </c>
      <c r="L38">
        <v>0.18</v>
      </c>
      <c r="M38">
        <v>0.61</v>
      </c>
    </row>
    <row r="39" spans="1:13" x14ac:dyDescent="0.25">
      <c r="A39">
        <v>0.185</v>
      </c>
      <c r="B39">
        <v>0.64</v>
      </c>
      <c r="C39">
        <v>0.55000000000000004</v>
      </c>
      <c r="L39">
        <v>0.185</v>
      </c>
      <c r="M39">
        <v>0.64</v>
      </c>
    </row>
    <row r="40" spans="1:13" x14ac:dyDescent="0.25">
      <c r="A40">
        <v>0.19</v>
      </c>
      <c r="B40">
        <v>0.67</v>
      </c>
      <c r="C40">
        <v>0.56999999999999995</v>
      </c>
      <c r="L40">
        <v>0.19</v>
      </c>
      <c r="M40">
        <v>0.67</v>
      </c>
    </row>
    <row r="41" spans="1:13" x14ac:dyDescent="0.25">
      <c r="A41">
        <v>0.19500000000000001</v>
      </c>
      <c r="B41">
        <v>0.7</v>
      </c>
      <c r="C41">
        <v>0.59</v>
      </c>
      <c r="L41">
        <v>0.19500000000000001</v>
      </c>
      <c r="M41">
        <v>0.7</v>
      </c>
    </row>
    <row r="42" spans="1:13" x14ac:dyDescent="0.25">
      <c r="A42">
        <v>0.2</v>
      </c>
      <c r="B42">
        <v>0.73</v>
      </c>
      <c r="C42">
        <v>0.62</v>
      </c>
      <c r="D42" s="12">
        <v>0.12</v>
      </c>
      <c r="L42">
        <v>0.2</v>
      </c>
      <c r="M42">
        <v>0.73</v>
      </c>
    </row>
    <row r="43" spans="1:13" x14ac:dyDescent="0.25">
      <c r="A43">
        <v>0.20499999999999999</v>
      </c>
      <c r="B43">
        <v>0.76</v>
      </c>
      <c r="C43">
        <v>0.64</v>
      </c>
      <c r="L43">
        <v>0.20499999999999999</v>
      </c>
      <c r="M43">
        <v>0.76</v>
      </c>
    </row>
    <row r="44" spans="1:13" x14ac:dyDescent="0.25">
      <c r="A44">
        <v>0.21</v>
      </c>
      <c r="B44">
        <v>0.79</v>
      </c>
      <c r="C44">
        <v>0.67</v>
      </c>
      <c r="L44">
        <v>0.21</v>
      </c>
      <c r="M44">
        <v>0.79</v>
      </c>
    </row>
    <row r="45" spans="1:13" x14ac:dyDescent="0.25">
      <c r="A45">
        <v>0.215</v>
      </c>
      <c r="B45">
        <v>0.82</v>
      </c>
      <c r="C45">
        <v>0.7</v>
      </c>
      <c r="L45">
        <v>0.215</v>
      </c>
      <c r="M45">
        <v>0.82</v>
      </c>
    </row>
    <row r="46" spans="1:13" x14ac:dyDescent="0.25">
      <c r="A46">
        <v>0.22</v>
      </c>
      <c r="B46">
        <v>0.85</v>
      </c>
      <c r="C46">
        <v>0.72</v>
      </c>
      <c r="L46">
        <v>0.22</v>
      </c>
      <c r="M46">
        <v>0.85</v>
      </c>
    </row>
    <row r="47" spans="1:13" x14ac:dyDescent="0.25">
      <c r="A47">
        <v>0.22500000000000001</v>
      </c>
      <c r="B47">
        <v>0.88</v>
      </c>
      <c r="C47">
        <v>0.75</v>
      </c>
      <c r="L47">
        <v>0.22500000000000001</v>
      </c>
      <c r="M47">
        <v>0.88</v>
      </c>
    </row>
    <row r="48" spans="1:13" x14ac:dyDescent="0.25">
      <c r="A48">
        <v>0.23</v>
      </c>
      <c r="B48">
        <v>0.92</v>
      </c>
      <c r="C48">
        <v>0.78</v>
      </c>
      <c r="L48">
        <v>0.23</v>
      </c>
      <c r="M48">
        <v>0.92</v>
      </c>
    </row>
    <row r="49" spans="1:13" x14ac:dyDescent="0.25">
      <c r="A49">
        <v>0.23499999999999999</v>
      </c>
      <c r="B49">
        <v>0.95</v>
      </c>
      <c r="C49">
        <v>0.81</v>
      </c>
      <c r="L49">
        <v>0.23499999999999999</v>
      </c>
      <c r="M49">
        <v>0.95</v>
      </c>
    </row>
    <row r="50" spans="1:13" x14ac:dyDescent="0.25">
      <c r="A50">
        <v>0.24</v>
      </c>
      <c r="B50">
        <v>0.98</v>
      </c>
      <c r="C50">
        <v>0.83</v>
      </c>
      <c r="L50">
        <v>0.24</v>
      </c>
      <c r="M50">
        <v>0.98</v>
      </c>
    </row>
    <row r="51" spans="1:13" x14ac:dyDescent="0.25">
      <c r="A51">
        <v>0.245</v>
      </c>
      <c r="B51">
        <v>1.01</v>
      </c>
      <c r="C51">
        <v>0.86</v>
      </c>
      <c r="L51">
        <v>0.245</v>
      </c>
      <c r="M51">
        <v>1.01</v>
      </c>
    </row>
    <row r="52" spans="1:13" x14ac:dyDescent="0.25">
      <c r="A52">
        <v>0.25</v>
      </c>
      <c r="B52">
        <v>1.05</v>
      </c>
      <c r="C52">
        <v>0.89</v>
      </c>
      <c r="L52">
        <v>0.25</v>
      </c>
      <c r="M52">
        <v>1.05</v>
      </c>
    </row>
    <row r="53" spans="1:13" x14ac:dyDescent="0.25">
      <c r="A53">
        <v>0.255</v>
      </c>
      <c r="B53">
        <v>1.08</v>
      </c>
      <c r="C53">
        <v>0.92</v>
      </c>
      <c r="L53">
        <v>0.255</v>
      </c>
      <c r="M53">
        <v>1.08</v>
      </c>
    </row>
    <row r="54" spans="1:13" x14ac:dyDescent="0.25">
      <c r="A54">
        <v>0.26</v>
      </c>
      <c r="B54">
        <v>1.1200000000000001</v>
      </c>
      <c r="C54">
        <v>0.95</v>
      </c>
      <c r="L54">
        <v>0.26</v>
      </c>
      <c r="M54">
        <v>1.1200000000000001</v>
      </c>
    </row>
    <row r="55" spans="1:13" x14ac:dyDescent="0.25">
      <c r="A55">
        <v>0.26500000000000001</v>
      </c>
      <c r="B55">
        <v>1.1499999999999999</v>
      </c>
      <c r="C55">
        <v>0.98</v>
      </c>
      <c r="L55">
        <v>0.26500000000000001</v>
      </c>
      <c r="M55">
        <v>1.1499999999999999</v>
      </c>
    </row>
    <row r="56" spans="1:13" x14ac:dyDescent="0.25">
      <c r="A56">
        <v>0.27</v>
      </c>
      <c r="B56">
        <v>1.18</v>
      </c>
      <c r="C56">
        <v>1.01</v>
      </c>
      <c r="L56">
        <v>0.27</v>
      </c>
      <c r="M56">
        <v>1.18</v>
      </c>
    </row>
    <row r="57" spans="1:13" x14ac:dyDescent="0.25">
      <c r="A57">
        <v>0.27500000000000002</v>
      </c>
      <c r="B57">
        <v>1.22</v>
      </c>
      <c r="C57">
        <v>1.03</v>
      </c>
      <c r="L57">
        <v>0.27500000000000002</v>
      </c>
      <c r="M57">
        <v>1.22</v>
      </c>
    </row>
    <row r="58" spans="1:13" x14ac:dyDescent="0.25">
      <c r="A58">
        <v>0.28000000000000003</v>
      </c>
      <c r="B58">
        <v>1.25</v>
      </c>
      <c r="C58">
        <v>1.06</v>
      </c>
      <c r="L58">
        <v>0.28000000000000003</v>
      </c>
      <c r="M58">
        <v>1.25</v>
      </c>
    </row>
    <row r="59" spans="1:13" x14ac:dyDescent="0.25">
      <c r="A59">
        <v>0.28499999999999998</v>
      </c>
      <c r="B59">
        <v>1.28</v>
      </c>
      <c r="C59">
        <v>1.0900000000000001</v>
      </c>
      <c r="L59">
        <v>0.28499999999999998</v>
      </c>
      <c r="M59">
        <v>1.28</v>
      </c>
    </row>
    <row r="60" spans="1:13" x14ac:dyDescent="0.25">
      <c r="A60">
        <v>0.28999999999999998</v>
      </c>
      <c r="B60">
        <v>1.32</v>
      </c>
      <c r="C60">
        <v>1.1200000000000001</v>
      </c>
      <c r="L60">
        <v>0.28999999999999998</v>
      </c>
      <c r="M60">
        <v>1.32</v>
      </c>
    </row>
    <row r="61" spans="1:13" x14ac:dyDescent="0.25">
      <c r="A61">
        <v>0.29499999999999998</v>
      </c>
      <c r="B61">
        <v>1.35</v>
      </c>
      <c r="C61">
        <v>1.1499999999999999</v>
      </c>
      <c r="L61">
        <v>0.29499999999999998</v>
      </c>
      <c r="M61">
        <v>1.35</v>
      </c>
    </row>
    <row r="62" spans="1:13" x14ac:dyDescent="0.25">
      <c r="A62">
        <v>0.3</v>
      </c>
      <c r="B62">
        <v>1.39</v>
      </c>
      <c r="C62">
        <v>1.18</v>
      </c>
      <c r="D62" s="12">
        <v>-0.24</v>
      </c>
      <c r="L62">
        <v>0.3</v>
      </c>
      <c r="M62">
        <v>1.39</v>
      </c>
    </row>
    <row r="63" spans="1:13" x14ac:dyDescent="0.25">
      <c r="A63">
        <v>0.30499999999999999</v>
      </c>
      <c r="B63">
        <v>1.42</v>
      </c>
      <c r="C63">
        <v>1.21</v>
      </c>
      <c r="L63">
        <v>0.30499999999999999</v>
      </c>
      <c r="M63">
        <v>1.42</v>
      </c>
    </row>
    <row r="64" spans="1:13" x14ac:dyDescent="0.25">
      <c r="A64">
        <v>0.31</v>
      </c>
      <c r="B64">
        <v>1.45</v>
      </c>
      <c r="C64">
        <v>1.24</v>
      </c>
      <c r="L64">
        <v>0.31</v>
      </c>
      <c r="M64">
        <v>1.45</v>
      </c>
    </row>
    <row r="65" spans="1:13" x14ac:dyDescent="0.25">
      <c r="A65">
        <v>0.315</v>
      </c>
      <c r="B65">
        <v>1.49</v>
      </c>
      <c r="C65">
        <v>1.26</v>
      </c>
      <c r="L65">
        <v>0.315</v>
      </c>
      <c r="M65">
        <v>1.49</v>
      </c>
    </row>
    <row r="66" spans="1:13" x14ac:dyDescent="0.25">
      <c r="A66">
        <v>0.32</v>
      </c>
      <c r="B66">
        <v>1.52</v>
      </c>
      <c r="C66">
        <v>1.29</v>
      </c>
      <c r="L66">
        <v>0.32</v>
      </c>
      <c r="M66">
        <v>1.52</v>
      </c>
    </row>
    <row r="67" spans="1:13" x14ac:dyDescent="0.25">
      <c r="A67">
        <v>0.32500000000000001</v>
      </c>
      <c r="B67">
        <v>1.55</v>
      </c>
      <c r="C67">
        <v>1.32</v>
      </c>
      <c r="L67">
        <v>0.32500000000000001</v>
      </c>
      <c r="M67">
        <v>1.55</v>
      </c>
    </row>
    <row r="68" spans="1:13" x14ac:dyDescent="0.25">
      <c r="A68">
        <v>0.33</v>
      </c>
      <c r="B68">
        <v>1.59</v>
      </c>
      <c r="C68">
        <v>1.35</v>
      </c>
      <c r="L68">
        <v>0.33</v>
      </c>
      <c r="M68">
        <v>1.59</v>
      </c>
    </row>
    <row r="69" spans="1:13" x14ac:dyDescent="0.25">
      <c r="A69">
        <v>0.33500000000000002</v>
      </c>
      <c r="B69">
        <v>1.62</v>
      </c>
      <c r="C69">
        <v>1.38</v>
      </c>
      <c r="L69">
        <v>0.33500000000000002</v>
      </c>
      <c r="M69">
        <v>1.62</v>
      </c>
    </row>
    <row r="70" spans="1:13" x14ac:dyDescent="0.25">
      <c r="A70">
        <v>0.34</v>
      </c>
      <c r="B70">
        <v>1.66</v>
      </c>
      <c r="C70">
        <v>1.41</v>
      </c>
      <c r="L70">
        <v>0.34</v>
      </c>
      <c r="M70">
        <v>1.66</v>
      </c>
    </row>
    <row r="71" spans="1:13" x14ac:dyDescent="0.25">
      <c r="A71">
        <v>0.34499999999999997</v>
      </c>
      <c r="B71">
        <v>1.69</v>
      </c>
      <c r="C71">
        <v>1.44</v>
      </c>
      <c r="L71">
        <v>0.34499999999999997</v>
      </c>
      <c r="M71">
        <v>1.69</v>
      </c>
    </row>
    <row r="72" spans="1:13" x14ac:dyDescent="0.25">
      <c r="A72">
        <v>0.35</v>
      </c>
      <c r="B72">
        <v>1.72</v>
      </c>
      <c r="C72">
        <v>1.46</v>
      </c>
      <c r="L72">
        <v>0.35</v>
      </c>
      <c r="M72">
        <v>1.72</v>
      </c>
    </row>
    <row r="73" spans="1:13" x14ac:dyDescent="0.25">
      <c r="A73">
        <v>0.35499999999999998</v>
      </c>
      <c r="B73">
        <v>1.76</v>
      </c>
      <c r="C73">
        <v>1.49</v>
      </c>
      <c r="L73">
        <v>0.35499999999999998</v>
      </c>
      <c r="M73">
        <v>1.76</v>
      </c>
    </row>
    <row r="74" spans="1:13" x14ac:dyDescent="0.25">
      <c r="A74">
        <v>0.36</v>
      </c>
      <c r="B74">
        <v>1.79</v>
      </c>
      <c r="C74">
        <v>1.52</v>
      </c>
      <c r="L74">
        <v>0.36</v>
      </c>
      <c r="M74">
        <v>1.79</v>
      </c>
    </row>
    <row r="75" spans="1:13" x14ac:dyDescent="0.25">
      <c r="A75">
        <v>0.36499999999999999</v>
      </c>
      <c r="B75">
        <v>1.82</v>
      </c>
      <c r="C75">
        <v>1.55</v>
      </c>
      <c r="L75">
        <v>0.36499999999999999</v>
      </c>
      <c r="M75">
        <v>1.82</v>
      </c>
    </row>
    <row r="76" spans="1:13" x14ac:dyDescent="0.25">
      <c r="A76">
        <v>0.37</v>
      </c>
      <c r="B76">
        <v>1.86</v>
      </c>
      <c r="C76">
        <v>1.58</v>
      </c>
      <c r="L76">
        <v>0.37</v>
      </c>
      <c r="M76">
        <v>1.86</v>
      </c>
    </row>
    <row r="77" spans="1:13" x14ac:dyDescent="0.25">
      <c r="A77">
        <v>0.375</v>
      </c>
      <c r="B77">
        <v>1.89</v>
      </c>
      <c r="C77">
        <v>1.61</v>
      </c>
      <c r="L77">
        <v>0.375</v>
      </c>
      <c r="M77">
        <v>1.89</v>
      </c>
    </row>
    <row r="78" spans="1:13" x14ac:dyDescent="0.25">
      <c r="A78">
        <v>0.38</v>
      </c>
      <c r="B78">
        <v>1.93</v>
      </c>
      <c r="C78">
        <v>1.64</v>
      </c>
      <c r="L78">
        <v>0.38</v>
      </c>
      <c r="M78">
        <v>1.93</v>
      </c>
    </row>
    <row r="79" spans="1:13" x14ac:dyDescent="0.25">
      <c r="A79">
        <v>0.38500000000000001</v>
      </c>
      <c r="B79">
        <v>1.96</v>
      </c>
      <c r="C79">
        <v>1.67</v>
      </c>
      <c r="L79">
        <v>0.38500000000000001</v>
      </c>
      <c r="M79">
        <v>1.96</v>
      </c>
    </row>
    <row r="80" spans="1:13" x14ac:dyDescent="0.25">
      <c r="A80">
        <v>0.39</v>
      </c>
      <c r="B80">
        <v>1.99</v>
      </c>
      <c r="C80">
        <v>1.69</v>
      </c>
      <c r="L80">
        <v>0.39</v>
      </c>
      <c r="M80">
        <v>1.99</v>
      </c>
    </row>
    <row r="81" spans="1:13" x14ac:dyDescent="0.25">
      <c r="A81">
        <v>0.39500000000000002</v>
      </c>
      <c r="B81">
        <v>2.0299999999999998</v>
      </c>
      <c r="C81">
        <v>1.72</v>
      </c>
      <c r="L81">
        <v>0.39500000000000002</v>
      </c>
      <c r="M81">
        <v>2.0299999999999998</v>
      </c>
    </row>
    <row r="82" spans="1:13" x14ac:dyDescent="0.25">
      <c r="A82">
        <v>0.4</v>
      </c>
      <c r="B82">
        <v>2.06</v>
      </c>
      <c r="C82">
        <v>1.75</v>
      </c>
      <c r="D82" s="12">
        <v>-6.0000000000000053E-2</v>
      </c>
      <c r="L82">
        <v>0.4</v>
      </c>
      <c r="M82">
        <v>2.06</v>
      </c>
    </row>
    <row r="83" spans="1:13" x14ac:dyDescent="0.25">
      <c r="A83">
        <v>0.40500000000000003</v>
      </c>
      <c r="B83">
        <v>2.09</v>
      </c>
      <c r="C83">
        <v>1.78</v>
      </c>
      <c r="L83">
        <v>0.40500000000000003</v>
      </c>
      <c r="M83">
        <v>2.09</v>
      </c>
    </row>
    <row r="84" spans="1:13" x14ac:dyDescent="0.25">
      <c r="A84">
        <v>0.41</v>
      </c>
      <c r="B84">
        <v>2.13</v>
      </c>
      <c r="C84">
        <v>1.81</v>
      </c>
      <c r="L84">
        <v>0.41</v>
      </c>
      <c r="M84">
        <v>2.13</v>
      </c>
    </row>
    <row r="85" spans="1:13" x14ac:dyDescent="0.25">
      <c r="A85">
        <v>0.41499999999999998</v>
      </c>
      <c r="B85">
        <v>2.16</v>
      </c>
      <c r="C85">
        <v>1.84</v>
      </c>
      <c r="L85">
        <v>0.41499999999999998</v>
      </c>
      <c r="M85">
        <v>2.16</v>
      </c>
    </row>
    <row r="86" spans="1:13" x14ac:dyDescent="0.25">
      <c r="A86">
        <v>0.42</v>
      </c>
      <c r="B86">
        <v>2.2000000000000002</v>
      </c>
      <c r="C86">
        <v>1.87</v>
      </c>
      <c r="L86">
        <v>0.42</v>
      </c>
      <c r="M86">
        <v>2.2000000000000002</v>
      </c>
    </row>
    <row r="87" spans="1:13" x14ac:dyDescent="0.25">
      <c r="A87">
        <v>0.42499999999999999</v>
      </c>
      <c r="B87">
        <v>2.23</v>
      </c>
      <c r="C87">
        <v>1.89</v>
      </c>
      <c r="L87">
        <v>0.42499999999999999</v>
      </c>
      <c r="M87">
        <v>2.23</v>
      </c>
    </row>
    <row r="88" spans="1:13" x14ac:dyDescent="0.25">
      <c r="A88">
        <v>0.43</v>
      </c>
      <c r="B88">
        <v>2.2599999999999998</v>
      </c>
      <c r="C88">
        <v>1.92</v>
      </c>
      <c r="L88">
        <v>0.43</v>
      </c>
      <c r="M88">
        <v>2.2599999999999998</v>
      </c>
    </row>
    <row r="89" spans="1:13" x14ac:dyDescent="0.25">
      <c r="A89">
        <v>0.435</v>
      </c>
      <c r="B89">
        <v>2.2999999999999998</v>
      </c>
      <c r="C89">
        <v>1.95</v>
      </c>
      <c r="L89">
        <v>0.435</v>
      </c>
      <c r="M89">
        <v>2.2999999999999998</v>
      </c>
    </row>
    <row r="90" spans="1:13" x14ac:dyDescent="0.25">
      <c r="A90">
        <v>0.44</v>
      </c>
      <c r="B90">
        <v>2.33</v>
      </c>
      <c r="C90">
        <v>1.98</v>
      </c>
      <c r="L90">
        <v>0.44</v>
      </c>
      <c r="M90">
        <v>2.33</v>
      </c>
    </row>
    <row r="91" spans="1:13" x14ac:dyDescent="0.25">
      <c r="A91">
        <v>0.44500000000000001</v>
      </c>
      <c r="B91">
        <v>2.36</v>
      </c>
      <c r="C91">
        <v>2.0099999999999998</v>
      </c>
      <c r="L91">
        <v>0.44500000000000001</v>
      </c>
      <c r="M91">
        <v>2.36</v>
      </c>
    </row>
    <row r="92" spans="1:13" x14ac:dyDescent="0.25">
      <c r="A92">
        <v>0.45</v>
      </c>
      <c r="B92">
        <v>2.4</v>
      </c>
      <c r="C92">
        <v>2.04</v>
      </c>
      <c r="L92">
        <v>0.45</v>
      </c>
      <c r="M92">
        <v>2.4</v>
      </c>
    </row>
    <row r="93" spans="1:13" x14ac:dyDescent="0.25">
      <c r="A93">
        <v>0.45500000000000002</v>
      </c>
      <c r="B93">
        <v>2.4300000000000002</v>
      </c>
      <c r="C93">
        <v>2.0699999999999998</v>
      </c>
      <c r="L93">
        <v>0.45500000000000002</v>
      </c>
      <c r="M93">
        <v>2.4300000000000002</v>
      </c>
    </row>
    <row r="94" spans="1:13" x14ac:dyDescent="0.25">
      <c r="A94">
        <v>0.46</v>
      </c>
      <c r="B94">
        <v>2.4700000000000002</v>
      </c>
      <c r="C94">
        <v>2.1</v>
      </c>
      <c r="L94">
        <v>0.46</v>
      </c>
      <c r="M94">
        <v>2.4700000000000002</v>
      </c>
    </row>
    <row r="95" spans="1:13" x14ac:dyDescent="0.25">
      <c r="A95">
        <v>0.46500000000000002</v>
      </c>
      <c r="B95">
        <v>2.5</v>
      </c>
      <c r="C95">
        <v>2.12</v>
      </c>
      <c r="L95">
        <v>0.46500000000000002</v>
      </c>
      <c r="M95">
        <v>2.5</v>
      </c>
    </row>
    <row r="96" spans="1:13" x14ac:dyDescent="0.25">
      <c r="A96">
        <v>0.47</v>
      </c>
      <c r="B96">
        <v>2.5299999999999998</v>
      </c>
      <c r="C96">
        <v>2.15</v>
      </c>
      <c r="L96">
        <v>0.47</v>
      </c>
      <c r="M96">
        <v>2.5299999999999998</v>
      </c>
    </row>
    <row r="97" spans="1:13" x14ac:dyDescent="0.25">
      <c r="A97">
        <v>0.47499999999999998</v>
      </c>
      <c r="B97">
        <v>2.57</v>
      </c>
      <c r="C97">
        <v>2.1800000000000002</v>
      </c>
      <c r="L97">
        <v>0.47499999999999998</v>
      </c>
      <c r="M97">
        <v>2.57</v>
      </c>
    </row>
    <row r="98" spans="1:13" x14ac:dyDescent="0.25">
      <c r="A98">
        <v>0.48</v>
      </c>
      <c r="B98">
        <v>2.6</v>
      </c>
      <c r="C98">
        <v>2.21</v>
      </c>
      <c r="L98">
        <v>0.48</v>
      </c>
      <c r="M98">
        <v>2.6</v>
      </c>
    </row>
    <row r="99" spans="1:13" x14ac:dyDescent="0.25">
      <c r="A99">
        <v>0.48499999999999999</v>
      </c>
      <c r="B99">
        <v>2.63</v>
      </c>
      <c r="C99">
        <v>2.2400000000000002</v>
      </c>
      <c r="L99">
        <v>0.48499999999999999</v>
      </c>
      <c r="M99">
        <v>2.63</v>
      </c>
    </row>
    <row r="100" spans="1:13" x14ac:dyDescent="0.25">
      <c r="A100">
        <v>0.49</v>
      </c>
      <c r="B100">
        <v>2.67</v>
      </c>
      <c r="C100">
        <v>2.27</v>
      </c>
      <c r="L100">
        <v>0.49</v>
      </c>
      <c r="M100">
        <v>2.67</v>
      </c>
    </row>
    <row r="101" spans="1:13" x14ac:dyDescent="0.25">
      <c r="A101">
        <v>0.495</v>
      </c>
      <c r="B101">
        <v>2.7</v>
      </c>
      <c r="C101">
        <v>2.2999999999999998</v>
      </c>
      <c r="L101">
        <v>0.495</v>
      </c>
      <c r="M101">
        <v>2.7</v>
      </c>
    </row>
    <row r="102" spans="1:13" x14ac:dyDescent="0.25">
      <c r="A102">
        <v>0.5</v>
      </c>
      <c r="B102">
        <v>2.74</v>
      </c>
      <c r="C102">
        <v>2.33</v>
      </c>
      <c r="D102" s="12">
        <v>-0.24000000000000021</v>
      </c>
      <c r="L102">
        <v>0.5</v>
      </c>
      <c r="M102">
        <v>2.74</v>
      </c>
    </row>
    <row r="103" spans="1:13" x14ac:dyDescent="0.25">
      <c r="A103">
        <v>0.505</v>
      </c>
      <c r="B103">
        <v>2.77</v>
      </c>
      <c r="C103">
        <v>2.35</v>
      </c>
      <c r="L103">
        <v>0.505</v>
      </c>
      <c r="M103">
        <v>2.77</v>
      </c>
    </row>
    <row r="104" spans="1:13" x14ac:dyDescent="0.25">
      <c r="A104">
        <v>0.51</v>
      </c>
      <c r="B104">
        <v>2.8</v>
      </c>
      <c r="C104">
        <v>2.38</v>
      </c>
      <c r="L104">
        <v>0.51</v>
      </c>
      <c r="M104">
        <v>2.8</v>
      </c>
    </row>
    <row r="105" spans="1:13" x14ac:dyDescent="0.25">
      <c r="A105">
        <v>0.51500000000000001</v>
      </c>
      <c r="B105">
        <v>2.84</v>
      </c>
      <c r="C105">
        <v>2.41</v>
      </c>
      <c r="L105">
        <v>0.51500000000000001</v>
      </c>
      <c r="M105">
        <v>2.84</v>
      </c>
    </row>
    <row r="106" spans="1:13" x14ac:dyDescent="0.25">
      <c r="A106">
        <v>0.52</v>
      </c>
      <c r="B106">
        <v>2.87</v>
      </c>
      <c r="C106">
        <v>2.44</v>
      </c>
      <c r="L106">
        <v>0.52</v>
      </c>
      <c r="M106">
        <v>2.87</v>
      </c>
    </row>
    <row r="107" spans="1:13" x14ac:dyDescent="0.25">
      <c r="A107">
        <v>0.52500000000000002</v>
      </c>
      <c r="B107">
        <v>2.9</v>
      </c>
      <c r="C107">
        <v>2.4700000000000002</v>
      </c>
      <c r="L107">
        <v>0.52500000000000002</v>
      </c>
      <c r="M107">
        <v>2.9</v>
      </c>
    </row>
    <row r="108" spans="1:13" x14ac:dyDescent="0.25">
      <c r="A108">
        <v>0.53</v>
      </c>
      <c r="B108">
        <v>2.94</v>
      </c>
      <c r="C108">
        <v>2.5</v>
      </c>
      <c r="L108">
        <v>0.53</v>
      </c>
      <c r="M108">
        <v>2.94</v>
      </c>
    </row>
    <row r="109" spans="1:13" x14ac:dyDescent="0.25">
      <c r="A109">
        <v>0.53500000000000003</v>
      </c>
      <c r="B109">
        <v>2.97</v>
      </c>
      <c r="C109">
        <v>2.5299999999999998</v>
      </c>
      <c r="L109">
        <v>0.53500000000000003</v>
      </c>
      <c r="M109">
        <v>2.97</v>
      </c>
    </row>
    <row r="110" spans="1:13" x14ac:dyDescent="0.25">
      <c r="A110">
        <v>0.54</v>
      </c>
      <c r="B110">
        <v>3.01</v>
      </c>
      <c r="C110">
        <v>2.5499999999999998</v>
      </c>
      <c r="L110">
        <v>0.54</v>
      </c>
      <c r="M110">
        <v>3.01</v>
      </c>
    </row>
    <row r="111" spans="1:13" x14ac:dyDescent="0.25">
      <c r="A111">
        <v>0.54500000000000004</v>
      </c>
      <c r="B111">
        <v>3.04</v>
      </c>
      <c r="C111">
        <v>2.58</v>
      </c>
      <c r="L111">
        <v>0.54500000000000004</v>
      </c>
      <c r="M111">
        <v>3.04</v>
      </c>
    </row>
    <row r="112" spans="1:13" x14ac:dyDescent="0.25">
      <c r="A112">
        <v>0.55000000000000004</v>
      </c>
      <c r="B112">
        <v>3.07</v>
      </c>
      <c r="C112">
        <v>2.61</v>
      </c>
      <c r="L112">
        <v>0.55000000000000004</v>
      </c>
      <c r="M112">
        <v>3.07</v>
      </c>
    </row>
    <row r="113" spans="1:13" x14ac:dyDescent="0.25">
      <c r="A113">
        <v>0.55500000000000005</v>
      </c>
      <c r="B113">
        <v>3.11</v>
      </c>
      <c r="C113">
        <v>2.64</v>
      </c>
      <c r="L113">
        <v>0.55500000000000005</v>
      </c>
      <c r="M113">
        <v>3.11</v>
      </c>
    </row>
    <row r="114" spans="1:13" x14ac:dyDescent="0.25">
      <c r="A114">
        <v>0.56000000000000005</v>
      </c>
      <c r="B114">
        <v>3.14</v>
      </c>
      <c r="C114">
        <v>2.67</v>
      </c>
      <c r="L114">
        <v>0.56000000000000005</v>
      </c>
      <c r="M114">
        <v>3.14</v>
      </c>
    </row>
    <row r="115" spans="1:13" x14ac:dyDescent="0.25">
      <c r="A115">
        <v>0.56499999999999995</v>
      </c>
      <c r="B115">
        <v>3.17</v>
      </c>
      <c r="C115">
        <v>2.7</v>
      </c>
      <c r="L115">
        <v>0.56499999999999995</v>
      </c>
      <c r="M115">
        <v>3.17</v>
      </c>
    </row>
    <row r="116" spans="1:13" x14ac:dyDescent="0.25">
      <c r="A116">
        <v>0.56999999999999995</v>
      </c>
      <c r="B116">
        <v>3.21</v>
      </c>
      <c r="C116">
        <v>2.73</v>
      </c>
      <c r="L116">
        <v>0.56999999999999995</v>
      </c>
      <c r="M116">
        <v>3.21</v>
      </c>
    </row>
    <row r="117" spans="1:13" x14ac:dyDescent="0.25">
      <c r="A117">
        <v>0.57499999999999996</v>
      </c>
      <c r="B117">
        <v>3.24</v>
      </c>
      <c r="C117">
        <v>2.76</v>
      </c>
      <c r="L117">
        <v>0.57499999999999996</v>
      </c>
      <c r="M117">
        <v>3.24</v>
      </c>
    </row>
    <row r="118" spans="1:13" x14ac:dyDescent="0.25">
      <c r="A118">
        <v>0.57999999999999996</v>
      </c>
      <c r="B118">
        <v>3.28</v>
      </c>
      <c r="C118">
        <v>2.78</v>
      </c>
      <c r="L118">
        <v>0.57999999999999996</v>
      </c>
      <c r="M118">
        <v>3.28</v>
      </c>
    </row>
    <row r="119" spans="1:13" x14ac:dyDescent="0.25">
      <c r="A119">
        <v>0.58499999999999996</v>
      </c>
      <c r="B119">
        <v>3.31</v>
      </c>
      <c r="C119">
        <v>2.81</v>
      </c>
      <c r="L119">
        <v>0.58499999999999996</v>
      </c>
      <c r="M119">
        <v>3.31</v>
      </c>
    </row>
    <row r="120" spans="1:13" x14ac:dyDescent="0.25">
      <c r="A120">
        <v>0.59</v>
      </c>
      <c r="B120">
        <v>3.34</v>
      </c>
      <c r="C120">
        <v>2.84</v>
      </c>
      <c r="L120">
        <v>0.59</v>
      </c>
      <c r="M120">
        <v>3.34</v>
      </c>
    </row>
    <row r="121" spans="1:13" x14ac:dyDescent="0.25">
      <c r="A121">
        <v>0.59499999999999997</v>
      </c>
      <c r="B121">
        <v>3.38</v>
      </c>
      <c r="C121">
        <v>2.87</v>
      </c>
      <c r="L121">
        <v>0.59499999999999997</v>
      </c>
      <c r="M121">
        <v>3.38</v>
      </c>
    </row>
    <row r="122" spans="1:13" x14ac:dyDescent="0.25">
      <c r="A122">
        <v>0.6</v>
      </c>
      <c r="B122">
        <v>3.41</v>
      </c>
      <c r="C122">
        <v>2.9</v>
      </c>
      <c r="D122" s="12">
        <v>-0.18000000000000016</v>
      </c>
      <c r="L122">
        <v>0.6</v>
      </c>
      <c r="M122">
        <v>3.41</v>
      </c>
    </row>
    <row r="123" spans="1:13" x14ac:dyDescent="0.25">
      <c r="A123">
        <v>0.60499999999999998</v>
      </c>
      <c r="B123">
        <v>3.44</v>
      </c>
      <c r="C123">
        <v>2.93</v>
      </c>
      <c r="L123">
        <v>0.60499999999999998</v>
      </c>
      <c r="M123">
        <v>3.44</v>
      </c>
    </row>
    <row r="124" spans="1:13" x14ac:dyDescent="0.25">
      <c r="A124">
        <v>0.61</v>
      </c>
      <c r="B124">
        <v>3.48</v>
      </c>
      <c r="C124">
        <v>2.96</v>
      </c>
      <c r="L124">
        <v>0.61</v>
      </c>
      <c r="M124">
        <v>3.48</v>
      </c>
    </row>
    <row r="125" spans="1:13" x14ac:dyDescent="0.25">
      <c r="A125">
        <v>0.61499999999999999</v>
      </c>
      <c r="B125">
        <v>3.51</v>
      </c>
      <c r="C125">
        <v>2.99</v>
      </c>
      <c r="L125">
        <v>0.61499999999999999</v>
      </c>
      <c r="M125">
        <v>3.51</v>
      </c>
    </row>
    <row r="126" spans="1:13" x14ac:dyDescent="0.25">
      <c r="A126">
        <v>0.62</v>
      </c>
      <c r="B126">
        <v>3.55</v>
      </c>
      <c r="C126">
        <v>3.01</v>
      </c>
      <c r="L126">
        <v>0.62</v>
      </c>
      <c r="M126">
        <v>3.55</v>
      </c>
    </row>
    <row r="127" spans="1:13" x14ac:dyDescent="0.25">
      <c r="A127">
        <v>0.625</v>
      </c>
      <c r="B127">
        <v>3.58</v>
      </c>
      <c r="C127">
        <v>3.04</v>
      </c>
      <c r="L127">
        <v>0.625</v>
      </c>
      <c r="M127">
        <v>3.58</v>
      </c>
    </row>
    <row r="128" spans="1:13" x14ac:dyDescent="0.25">
      <c r="A128">
        <v>0.63</v>
      </c>
      <c r="B128">
        <v>3.61</v>
      </c>
      <c r="C128">
        <v>3.07</v>
      </c>
      <c r="L128">
        <v>0.63</v>
      </c>
      <c r="M128">
        <v>3.61</v>
      </c>
    </row>
    <row r="129" spans="1:13" x14ac:dyDescent="0.25">
      <c r="A129">
        <v>0.63500000000000001</v>
      </c>
      <c r="B129">
        <v>3.65</v>
      </c>
      <c r="C129">
        <v>3.1</v>
      </c>
      <c r="L129">
        <v>0.63500000000000001</v>
      </c>
      <c r="M129">
        <v>3.65</v>
      </c>
    </row>
    <row r="130" spans="1:13" x14ac:dyDescent="0.25">
      <c r="A130">
        <v>0.64</v>
      </c>
      <c r="B130">
        <v>3.68</v>
      </c>
      <c r="C130">
        <v>3.13</v>
      </c>
      <c r="L130">
        <v>0.64</v>
      </c>
      <c r="M130">
        <v>3.68</v>
      </c>
    </row>
    <row r="131" spans="1:13" x14ac:dyDescent="0.25">
      <c r="A131">
        <v>0.64500000000000002</v>
      </c>
      <c r="B131">
        <v>3.71</v>
      </c>
      <c r="C131">
        <v>3.16</v>
      </c>
      <c r="L131">
        <v>0.64500000000000002</v>
      </c>
      <c r="M131">
        <v>3.71</v>
      </c>
    </row>
    <row r="132" spans="1:13" x14ac:dyDescent="0.25">
      <c r="A132">
        <v>0.65</v>
      </c>
      <c r="B132">
        <v>3.75</v>
      </c>
      <c r="C132">
        <v>3.19</v>
      </c>
      <c r="L132">
        <v>0.65</v>
      </c>
      <c r="M132">
        <v>3.75</v>
      </c>
    </row>
    <row r="133" spans="1:13" x14ac:dyDescent="0.25">
      <c r="A133">
        <v>0.65500000000000003</v>
      </c>
      <c r="B133">
        <v>3.78</v>
      </c>
      <c r="C133">
        <v>3.21</v>
      </c>
      <c r="L133">
        <v>0.65500000000000003</v>
      </c>
      <c r="M133">
        <v>3.78</v>
      </c>
    </row>
    <row r="134" spans="1:13" x14ac:dyDescent="0.25">
      <c r="A134">
        <v>0.66</v>
      </c>
      <c r="B134">
        <v>3.82</v>
      </c>
      <c r="C134">
        <v>3.24</v>
      </c>
      <c r="L134">
        <v>0.66</v>
      </c>
      <c r="M134">
        <v>3.82</v>
      </c>
    </row>
    <row r="135" spans="1:13" x14ac:dyDescent="0.25">
      <c r="A135">
        <v>0.66500000000000004</v>
      </c>
      <c r="B135">
        <v>3.85</v>
      </c>
      <c r="C135">
        <v>3.27</v>
      </c>
      <c r="L135">
        <v>0.66500000000000004</v>
      </c>
      <c r="M135">
        <v>3.85</v>
      </c>
    </row>
    <row r="136" spans="1:13" x14ac:dyDescent="0.25">
      <c r="A136">
        <v>0.67</v>
      </c>
      <c r="B136">
        <v>3.88</v>
      </c>
      <c r="C136">
        <v>3.3</v>
      </c>
      <c r="L136">
        <v>0.67</v>
      </c>
      <c r="M136">
        <v>3.88</v>
      </c>
    </row>
    <row r="137" spans="1:13" x14ac:dyDescent="0.25">
      <c r="A137">
        <v>0.67500000000000004</v>
      </c>
      <c r="B137">
        <v>3.92</v>
      </c>
      <c r="C137">
        <v>3.33</v>
      </c>
      <c r="L137">
        <v>0.67500000000000004</v>
      </c>
      <c r="M137">
        <v>3.92</v>
      </c>
    </row>
    <row r="138" spans="1:13" x14ac:dyDescent="0.25">
      <c r="A138">
        <v>0.68</v>
      </c>
      <c r="B138">
        <v>3.95</v>
      </c>
      <c r="C138">
        <v>3.36</v>
      </c>
      <c r="L138">
        <v>0.68</v>
      </c>
      <c r="M138">
        <v>3.95</v>
      </c>
    </row>
    <row r="139" spans="1:13" x14ac:dyDescent="0.25">
      <c r="A139">
        <v>0.68500000000000005</v>
      </c>
      <c r="B139">
        <v>3.98</v>
      </c>
      <c r="C139">
        <v>3.39</v>
      </c>
      <c r="L139">
        <v>0.68500000000000005</v>
      </c>
      <c r="M139">
        <v>3.98</v>
      </c>
    </row>
    <row r="140" spans="1:13" x14ac:dyDescent="0.25">
      <c r="A140">
        <v>0.69</v>
      </c>
      <c r="B140">
        <v>4.0199999999999996</v>
      </c>
      <c r="C140">
        <v>3.42</v>
      </c>
      <c r="L140">
        <v>0.69</v>
      </c>
      <c r="M140">
        <v>4.0199999999999996</v>
      </c>
    </row>
    <row r="141" spans="1:13" x14ac:dyDescent="0.25">
      <c r="A141">
        <v>0.69499999999999995</v>
      </c>
      <c r="B141">
        <v>4.05</v>
      </c>
      <c r="C141">
        <v>3.44</v>
      </c>
      <c r="L141">
        <v>0.69499999999999995</v>
      </c>
      <c r="M141">
        <v>4.05</v>
      </c>
    </row>
    <row r="142" spans="1:13" x14ac:dyDescent="0.25">
      <c r="A142">
        <v>0.7</v>
      </c>
      <c r="B142">
        <v>4.09</v>
      </c>
      <c r="C142">
        <v>3.47</v>
      </c>
      <c r="D142" s="12">
        <v>0.16000000000000014</v>
      </c>
      <c r="L142">
        <v>0.7</v>
      </c>
      <c r="M142">
        <v>4.09</v>
      </c>
    </row>
    <row r="143" spans="1:13" x14ac:dyDescent="0.25">
      <c r="A143">
        <v>0.70499999999999996</v>
      </c>
      <c r="B143">
        <v>4.12</v>
      </c>
      <c r="C143">
        <v>3.5</v>
      </c>
      <c r="L143">
        <v>0.70499999999999996</v>
      </c>
      <c r="M143">
        <v>4.12</v>
      </c>
    </row>
    <row r="144" spans="1:13" x14ac:dyDescent="0.25">
      <c r="A144">
        <v>0.71</v>
      </c>
      <c r="B144">
        <v>4.1500000000000004</v>
      </c>
      <c r="C144">
        <v>3.53</v>
      </c>
      <c r="L144">
        <v>0.71</v>
      </c>
      <c r="M144">
        <v>4.1500000000000004</v>
      </c>
    </row>
    <row r="145" spans="1:13" x14ac:dyDescent="0.25">
      <c r="A145">
        <v>0.71499999999999997</v>
      </c>
      <c r="B145">
        <v>4.1900000000000004</v>
      </c>
      <c r="C145">
        <v>3.56</v>
      </c>
      <c r="L145">
        <v>0.71499999999999997</v>
      </c>
      <c r="M145">
        <v>4.1900000000000004</v>
      </c>
    </row>
    <row r="146" spans="1:13" x14ac:dyDescent="0.25">
      <c r="A146">
        <v>0.72</v>
      </c>
      <c r="B146">
        <v>4.22</v>
      </c>
      <c r="C146">
        <v>3.59</v>
      </c>
      <c r="L146">
        <v>0.72</v>
      </c>
      <c r="M146">
        <v>4.22</v>
      </c>
    </row>
    <row r="147" spans="1:13" x14ac:dyDescent="0.25">
      <c r="A147">
        <v>0.72499999999999998</v>
      </c>
      <c r="B147">
        <v>4.25</v>
      </c>
      <c r="C147">
        <v>3.62</v>
      </c>
      <c r="L147">
        <v>0.72499999999999998</v>
      </c>
      <c r="M147">
        <v>4.25</v>
      </c>
    </row>
    <row r="148" spans="1:13" x14ac:dyDescent="0.25">
      <c r="A148">
        <v>0.73</v>
      </c>
      <c r="B148">
        <v>4.29</v>
      </c>
      <c r="C148">
        <v>3.64</v>
      </c>
      <c r="L148">
        <v>0.73</v>
      </c>
      <c r="M148">
        <v>4.29</v>
      </c>
    </row>
    <row r="149" spans="1:13" x14ac:dyDescent="0.25">
      <c r="A149">
        <v>0.73499999999999999</v>
      </c>
      <c r="B149">
        <v>4.32</v>
      </c>
      <c r="C149">
        <v>3.67</v>
      </c>
      <c r="L149">
        <v>0.73499999999999999</v>
      </c>
      <c r="M149">
        <v>4.32</v>
      </c>
    </row>
    <row r="150" spans="1:13" x14ac:dyDescent="0.25">
      <c r="A150">
        <v>0.74</v>
      </c>
      <c r="B150">
        <v>4.3600000000000003</v>
      </c>
      <c r="C150">
        <v>3.7</v>
      </c>
      <c r="L150">
        <v>0.74</v>
      </c>
      <c r="M150">
        <v>4.3600000000000003</v>
      </c>
    </row>
    <row r="151" spans="1:13" x14ac:dyDescent="0.25">
      <c r="A151">
        <v>0.745</v>
      </c>
      <c r="B151">
        <v>4.3899999999999997</v>
      </c>
      <c r="C151">
        <v>3.73</v>
      </c>
      <c r="L151">
        <v>0.745</v>
      </c>
      <c r="M151">
        <v>4.3899999999999997</v>
      </c>
    </row>
    <row r="152" spans="1:13" x14ac:dyDescent="0.25">
      <c r="A152">
        <v>0.75</v>
      </c>
      <c r="B152">
        <v>4.42</v>
      </c>
      <c r="C152">
        <v>3.76</v>
      </c>
      <c r="L152">
        <v>0.75</v>
      </c>
      <c r="M152">
        <v>4.42</v>
      </c>
    </row>
    <row r="153" spans="1:13" x14ac:dyDescent="0.25">
      <c r="A153">
        <v>0.755</v>
      </c>
      <c r="B153">
        <v>4.46</v>
      </c>
      <c r="C153">
        <v>3.79</v>
      </c>
      <c r="L153">
        <v>0.755</v>
      </c>
      <c r="M153">
        <v>4.46</v>
      </c>
    </row>
    <row r="154" spans="1:13" x14ac:dyDescent="0.25">
      <c r="A154">
        <v>0.76</v>
      </c>
      <c r="B154">
        <v>4.49</v>
      </c>
      <c r="C154">
        <v>3.82</v>
      </c>
      <c r="L154">
        <v>0.76</v>
      </c>
      <c r="M154">
        <v>4.49</v>
      </c>
    </row>
    <row r="155" spans="1:13" x14ac:dyDescent="0.25">
      <c r="A155">
        <v>0.76500000000000001</v>
      </c>
      <c r="B155">
        <v>4.5199999999999996</v>
      </c>
      <c r="C155">
        <v>3.85</v>
      </c>
      <c r="L155">
        <v>0.76500000000000001</v>
      </c>
      <c r="M155">
        <v>4.5199999999999996</v>
      </c>
    </row>
    <row r="156" spans="1:13" x14ac:dyDescent="0.25">
      <c r="A156">
        <v>0.77</v>
      </c>
      <c r="B156">
        <v>4.5599999999999996</v>
      </c>
      <c r="C156">
        <v>3.87</v>
      </c>
      <c r="L156">
        <v>0.77</v>
      </c>
      <c r="M156">
        <v>4.5599999999999996</v>
      </c>
    </row>
    <row r="157" spans="1:13" x14ac:dyDescent="0.25">
      <c r="A157">
        <v>0.77500000000000002</v>
      </c>
      <c r="B157">
        <v>4.59</v>
      </c>
      <c r="C157">
        <v>3.9</v>
      </c>
      <c r="L157">
        <v>0.77500000000000002</v>
      </c>
      <c r="M157">
        <v>4.59</v>
      </c>
    </row>
    <row r="158" spans="1:13" x14ac:dyDescent="0.25">
      <c r="A158">
        <v>0.78</v>
      </c>
      <c r="B158">
        <v>4.63</v>
      </c>
      <c r="C158">
        <v>3.93</v>
      </c>
      <c r="L158">
        <v>0.78</v>
      </c>
      <c r="M158">
        <v>4.63</v>
      </c>
    </row>
    <row r="159" spans="1:13" x14ac:dyDescent="0.25">
      <c r="A159">
        <v>0.78500000000000003</v>
      </c>
      <c r="B159">
        <v>4.66</v>
      </c>
      <c r="C159">
        <v>3.96</v>
      </c>
      <c r="L159">
        <v>0.78500000000000003</v>
      </c>
      <c r="M159">
        <v>4.66</v>
      </c>
    </row>
    <row r="160" spans="1:13" x14ac:dyDescent="0.25">
      <c r="A160">
        <v>0.79</v>
      </c>
      <c r="B160">
        <v>4.6900000000000004</v>
      </c>
      <c r="C160">
        <v>3.99</v>
      </c>
      <c r="L160">
        <v>0.79</v>
      </c>
      <c r="M160">
        <v>4.6900000000000004</v>
      </c>
    </row>
    <row r="161" spans="1:13" x14ac:dyDescent="0.25">
      <c r="A161">
        <v>0.79500000000000004</v>
      </c>
      <c r="B161">
        <v>4.7300000000000004</v>
      </c>
      <c r="C161">
        <v>4.0199999999999996</v>
      </c>
      <c r="L161">
        <v>0.79500000000000004</v>
      </c>
      <c r="M161">
        <v>4.7300000000000004</v>
      </c>
    </row>
    <row r="162" spans="1:13" x14ac:dyDescent="0.25">
      <c r="A162">
        <v>0.8</v>
      </c>
      <c r="B162">
        <v>4.76</v>
      </c>
      <c r="C162">
        <v>4.05</v>
      </c>
      <c r="D162" s="12">
        <v>0.14000000000000057</v>
      </c>
      <c r="L162">
        <v>0.8</v>
      </c>
      <c r="M162">
        <v>4.76</v>
      </c>
    </row>
    <row r="163" spans="1:13" x14ac:dyDescent="0.25">
      <c r="A163">
        <v>0.80500000000000005</v>
      </c>
      <c r="B163">
        <v>4.79</v>
      </c>
      <c r="C163">
        <v>4.08</v>
      </c>
      <c r="L163">
        <v>0.80500000000000005</v>
      </c>
      <c r="M163">
        <v>4.79</v>
      </c>
    </row>
    <row r="164" spans="1:13" x14ac:dyDescent="0.25">
      <c r="A164">
        <v>0.81</v>
      </c>
      <c r="B164">
        <v>4.83</v>
      </c>
      <c r="C164">
        <v>4.0999999999999996</v>
      </c>
      <c r="L164">
        <v>0.81</v>
      </c>
      <c r="M164">
        <v>4.83</v>
      </c>
    </row>
    <row r="165" spans="1:13" x14ac:dyDescent="0.25">
      <c r="A165">
        <v>0.81499999999999995</v>
      </c>
      <c r="B165">
        <v>4.8600000000000003</v>
      </c>
      <c r="C165">
        <v>4.13</v>
      </c>
      <c r="L165">
        <v>0.81499999999999995</v>
      </c>
      <c r="M165">
        <v>4.8600000000000003</v>
      </c>
    </row>
    <row r="166" spans="1:13" x14ac:dyDescent="0.25">
      <c r="A166">
        <v>0.82</v>
      </c>
      <c r="B166">
        <v>4.9000000000000004</v>
      </c>
      <c r="C166">
        <v>4.16</v>
      </c>
      <c r="L166">
        <v>0.82</v>
      </c>
      <c r="M166">
        <v>4.9000000000000004</v>
      </c>
    </row>
    <row r="167" spans="1:13" x14ac:dyDescent="0.25">
      <c r="A167">
        <v>0.82499999999999996</v>
      </c>
      <c r="B167">
        <v>4.93</v>
      </c>
      <c r="C167">
        <v>4.1900000000000004</v>
      </c>
      <c r="L167">
        <v>0.82499999999999996</v>
      </c>
      <c r="M167">
        <v>4.93</v>
      </c>
    </row>
    <row r="168" spans="1:13" x14ac:dyDescent="0.25">
      <c r="A168">
        <v>0.83</v>
      </c>
      <c r="B168">
        <v>4.96</v>
      </c>
      <c r="C168">
        <v>4.22</v>
      </c>
      <c r="L168">
        <v>0.83</v>
      </c>
      <c r="M168">
        <v>4.96</v>
      </c>
    </row>
    <row r="169" spans="1:13" x14ac:dyDescent="0.25">
      <c r="A169">
        <v>0.83499999999999996</v>
      </c>
      <c r="B169">
        <v>5</v>
      </c>
      <c r="C169">
        <v>4.25</v>
      </c>
      <c r="L169">
        <v>0.83499999999999996</v>
      </c>
      <c r="M169">
        <v>5</v>
      </c>
    </row>
    <row r="170" spans="1:13" x14ac:dyDescent="0.25">
      <c r="A170">
        <v>0.84</v>
      </c>
      <c r="B170">
        <v>5.03</v>
      </c>
      <c r="C170">
        <v>4.28</v>
      </c>
      <c r="L170">
        <v>0.84</v>
      </c>
      <c r="M170">
        <v>5.03</v>
      </c>
    </row>
    <row r="171" spans="1:13" x14ac:dyDescent="0.25">
      <c r="A171">
        <v>0.84499999999999997</v>
      </c>
      <c r="B171">
        <v>5.0599999999999996</v>
      </c>
      <c r="C171">
        <v>4.3</v>
      </c>
      <c r="L171">
        <v>0.84499999999999997</v>
      </c>
      <c r="M171">
        <v>5.0599999999999996</v>
      </c>
    </row>
    <row r="172" spans="1:13" x14ac:dyDescent="0.25">
      <c r="A172">
        <v>0.85</v>
      </c>
      <c r="B172">
        <v>5.0999999999999996</v>
      </c>
      <c r="C172">
        <v>4.33</v>
      </c>
      <c r="L172">
        <v>0.85</v>
      </c>
      <c r="M172">
        <v>5.0999999999999996</v>
      </c>
    </row>
    <row r="173" spans="1:13" x14ac:dyDescent="0.25">
      <c r="A173">
        <v>0.85499999999999998</v>
      </c>
      <c r="B173">
        <v>5.13</v>
      </c>
      <c r="C173">
        <v>4.3600000000000003</v>
      </c>
      <c r="L173">
        <v>0.85499999999999998</v>
      </c>
      <c r="M173">
        <v>5.13</v>
      </c>
    </row>
    <row r="174" spans="1:13" x14ac:dyDescent="0.25">
      <c r="A174">
        <v>0.86</v>
      </c>
      <c r="B174">
        <v>5.17</v>
      </c>
      <c r="C174">
        <v>4.3899999999999997</v>
      </c>
      <c r="L174">
        <v>0.86</v>
      </c>
      <c r="M174">
        <v>5.17</v>
      </c>
    </row>
    <row r="175" spans="1:13" x14ac:dyDescent="0.25">
      <c r="A175">
        <v>0.86499999999999999</v>
      </c>
      <c r="B175">
        <v>5.2</v>
      </c>
      <c r="C175">
        <v>4.42</v>
      </c>
      <c r="L175">
        <v>0.86499999999999999</v>
      </c>
      <c r="M175">
        <v>5.2</v>
      </c>
    </row>
    <row r="176" spans="1:13" x14ac:dyDescent="0.25">
      <c r="A176">
        <v>0.87</v>
      </c>
      <c r="B176">
        <v>5.23</v>
      </c>
      <c r="C176">
        <v>4.45</v>
      </c>
      <c r="L176">
        <v>0.87</v>
      </c>
      <c r="M176">
        <v>5.23</v>
      </c>
    </row>
    <row r="177" spans="1:13" x14ac:dyDescent="0.25">
      <c r="A177">
        <v>0.875</v>
      </c>
      <c r="B177">
        <v>5.27</v>
      </c>
      <c r="C177">
        <v>4.4800000000000004</v>
      </c>
      <c r="L177">
        <v>0.875</v>
      </c>
      <c r="M177">
        <v>5.27</v>
      </c>
    </row>
    <row r="178" spans="1:13" x14ac:dyDescent="0.25">
      <c r="A178">
        <v>0.88</v>
      </c>
      <c r="B178">
        <v>5.3</v>
      </c>
      <c r="C178">
        <v>4.51</v>
      </c>
      <c r="L178">
        <v>0.88</v>
      </c>
      <c r="M178">
        <v>5.3</v>
      </c>
    </row>
    <row r="179" spans="1:13" x14ac:dyDescent="0.25">
      <c r="A179">
        <v>0.88500000000000001</v>
      </c>
      <c r="B179">
        <v>5.33</v>
      </c>
      <c r="C179">
        <v>4.53</v>
      </c>
      <c r="L179">
        <v>0.88500000000000001</v>
      </c>
      <c r="M179">
        <v>5.33</v>
      </c>
    </row>
    <row r="180" spans="1:13" x14ac:dyDescent="0.25">
      <c r="A180">
        <v>0.89</v>
      </c>
      <c r="B180">
        <v>5.37</v>
      </c>
      <c r="C180">
        <v>4.5599999999999996</v>
      </c>
      <c r="L180">
        <v>0.89</v>
      </c>
      <c r="M180">
        <v>5.37</v>
      </c>
    </row>
    <row r="181" spans="1:13" x14ac:dyDescent="0.25">
      <c r="A181">
        <v>0.89500000000000002</v>
      </c>
      <c r="B181">
        <v>5.4</v>
      </c>
      <c r="C181">
        <v>4.59</v>
      </c>
      <c r="L181">
        <v>0.89500000000000002</v>
      </c>
      <c r="M181">
        <v>5.4</v>
      </c>
    </row>
    <row r="182" spans="1:13" x14ac:dyDescent="0.25">
      <c r="A182">
        <v>0.9</v>
      </c>
      <c r="B182">
        <v>5.44</v>
      </c>
      <c r="C182">
        <v>4.62</v>
      </c>
      <c r="D182" s="12">
        <v>-0.19000000000000039</v>
      </c>
      <c r="L182">
        <v>0.9</v>
      </c>
      <c r="M182">
        <v>5.44</v>
      </c>
    </row>
    <row r="183" spans="1:13" x14ac:dyDescent="0.25">
      <c r="A183">
        <v>0.90500000000000003</v>
      </c>
      <c r="B183">
        <v>5.47</v>
      </c>
      <c r="C183">
        <v>4.6500000000000004</v>
      </c>
      <c r="L183">
        <v>0.90500000000000003</v>
      </c>
      <c r="M183">
        <v>5.47</v>
      </c>
    </row>
    <row r="184" spans="1:13" x14ac:dyDescent="0.25">
      <c r="A184">
        <v>0.91</v>
      </c>
      <c r="B184">
        <v>5.5</v>
      </c>
      <c r="C184">
        <v>4.68</v>
      </c>
      <c r="L184">
        <v>0.91</v>
      </c>
      <c r="M184">
        <v>5.5</v>
      </c>
    </row>
    <row r="185" spans="1:13" x14ac:dyDescent="0.25">
      <c r="A185">
        <v>0.91500000000000004</v>
      </c>
      <c r="B185">
        <v>5.54</v>
      </c>
      <c r="C185">
        <v>4.71</v>
      </c>
      <c r="L185">
        <v>0.91500000000000004</v>
      </c>
      <c r="M185">
        <v>5.54</v>
      </c>
    </row>
    <row r="186" spans="1:13" x14ac:dyDescent="0.25">
      <c r="A186">
        <v>0.92</v>
      </c>
      <c r="B186">
        <v>5.57</v>
      </c>
      <c r="C186">
        <v>4.74</v>
      </c>
      <c r="L186">
        <v>0.92</v>
      </c>
      <c r="M186">
        <v>5.57</v>
      </c>
    </row>
    <row r="187" spans="1:13" x14ac:dyDescent="0.25">
      <c r="A187">
        <v>0.92500000000000004</v>
      </c>
      <c r="B187">
        <v>5.6</v>
      </c>
      <c r="C187">
        <v>4.76</v>
      </c>
      <c r="L187">
        <v>0.92500000000000004</v>
      </c>
      <c r="M187">
        <v>5.6</v>
      </c>
    </row>
    <row r="188" spans="1:13" x14ac:dyDescent="0.25">
      <c r="A188">
        <v>0.93</v>
      </c>
      <c r="B188">
        <v>5.64</v>
      </c>
      <c r="C188">
        <v>4.79</v>
      </c>
      <c r="L188">
        <v>0.93</v>
      </c>
      <c r="M188">
        <v>5.64</v>
      </c>
    </row>
    <row r="189" spans="1:13" x14ac:dyDescent="0.25">
      <c r="A189">
        <v>0.93500000000000005</v>
      </c>
      <c r="B189">
        <v>5.67</v>
      </c>
      <c r="C189">
        <v>4.82</v>
      </c>
      <c r="L189">
        <v>0.93500000000000005</v>
      </c>
      <c r="M189">
        <v>5.67</v>
      </c>
    </row>
    <row r="190" spans="1:13" x14ac:dyDescent="0.25">
      <c r="A190">
        <v>0.94</v>
      </c>
      <c r="B190">
        <v>5.71</v>
      </c>
      <c r="C190">
        <v>4.8499999999999996</v>
      </c>
      <c r="L190">
        <v>0.94</v>
      </c>
      <c r="M190">
        <v>5.71</v>
      </c>
    </row>
    <row r="191" spans="1:13" x14ac:dyDescent="0.25">
      <c r="A191">
        <v>0.94499999999999995</v>
      </c>
      <c r="B191">
        <v>5.74</v>
      </c>
      <c r="C191">
        <v>4.88</v>
      </c>
      <c r="L191">
        <v>0.94499999999999995</v>
      </c>
      <c r="M191">
        <v>5.74</v>
      </c>
    </row>
    <row r="192" spans="1:13" x14ac:dyDescent="0.25">
      <c r="A192">
        <v>0.95</v>
      </c>
      <c r="B192">
        <v>5.77</v>
      </c>
      <c r="C192">
        <v>4.91</v>
      </c>
      <c r="L192">
        <v>0.95</v>
      </c>
      <c r="M192">
        <v>5.77</v>
      </c>
    </row>
    <row r="193" spans="1:13" x14ac:dyDescent="0.25">
      <c r="A193">
        <v>0.95499999999999996</v>
      </c>
      <c r="B193">
        <v>5.81</v>
      </c>
      <c r="C193">
        <v>4.9400000000000004</v>
      </c>
      <c r="L193">
        <v>0.95499999999999996</v>
      </c>
      <c r="M193">
        <v>5.81</v>
      </c>
    </row>
    <row r="194" spans="1:13" x14ac:dyDescent="0.25">
      <c r="A194">
        <v>0.96</v>
      </c>
      <c r="B194">
        <v>5.84</v>
      </c>
      <c r="C194">
        <v>4.96</v>
      </c>
      <c r="L194">
        <v>0.96</v>
      </c>
      <c r="M194">
        <v>5.84</v>
      </c>
    </row>
    <row r="195" spans="1:13" x14ac:dyDescent="0.25">
      <c r="A195">
        <v>0.96499999999999997</v>
      </c>
      <c r="B195">
        <v>5.87</v>
      </c>
      <c r="C195">
        <v>4.99</v>
      </c>
      <c r="L195">
        <v>0.96499999999999997</v>
      </c>
      <c r="M195">
        <v>5.87</v>
      </c>
    </row>
    <row r="196" spans="1:13" x14ac:dyDescent="0.25">
      <c r="A196">
        <v>0.97</v>
      </c>
      <c r="B196">
        <v>5.91</v>
      </c>
      <c r="C196">
        <v>5.0199999999999996</v>
      </c>
      <c r="L196">
        <v>0.97</v>
      </c>
      <c r="M196">
        <v>5.91</v>
      </c>
    </row>
    <row r="197" spans="1:13" x14ac:dyDescent="0.25">
      <c r="A197">
        <v>0.97499999999999998</v>
      </c>
      <c r="B197">
        <v>5.94</v>
      </c>
      <c r="C197">
        <v>5.05</v>
      </c>
      <c r="L197">
        <v>0.97499999999999998</v>
      </c>
      <c r="M197">
        <v>5.94</v>
      </c>
    </row>
    <row r="198" spans="1:13" x14ac:dyDescent="0.25">
      <c r="A198">
        <v>0.98</v>
      </c>
      <c r="B198">
        <v>5.98</v>
      </c>
      <c r="C198">
        <v>5.08</v>
      </c>
      <c r="L198">
        <v>0.98</v>
      </c>
      <c r="M198">
        <v>5.98</v>
      </c>
    </row>
    <row r="199" spans="1:13" x14ac:dyDescent="0.25">
      <c r="A199">
        <v>0.98499999999999999</v>
      </c>
      <c r="B199">
        <v>6.01</v>
      </c>
      <c r="C199">
        <v>5.1100000000000003</v>
      </c>
      <c r="L199">
        <v>0.98499999999999999</v>
      </c>
      <c r="M199">
        <v>6.01</v>
      </c>
    </row>
    <row r="200" spans="1:13" x14ac:dyDescent="0.25">
      <c r="A200">
        <v>0.99</v>
      </c>
      <c r="B200">
        <v>6.04</v>
      </c>
      <c r="C200">
        <v>5.14</v>
      </c>
      <c r="L200">
        <v>0.99</v>
      </c>
      <c r="M200">
        <v>6.04</v>
      </c>
    </row>
    <row r="201" spans="1:13" x14ac:dyDescent="0.25">
      <c r="A201">
        <v>0.995</v>
      </c>
      <c r="B201">
        <v>6.08</v>
      </c>
      <c r="C201">
        <v>5.17</v>
      </c>
      <c r="L201">
        <v>0.995</v>
      </c>
      <c r="M201">
        <v>6.08</v>
      </c>
    </row>
    <row r="202" spans="1:13" x14ac:dyDescent="0.25">
      <c r="A202">
        <v>1</v>
      </c>
      <c r="B202">
        <v>6.11</v>
      </c>
      <c r="C202">
        <v>5.19</v>
      </c>
      <c r="D202" s="12">
        <v>-0.11000000000000032</v>
      </c>
      <c r="L202">
        <v>1</v>
      </c>
      <c r="M202">
        <v>6.11</v>
      </c>
    </row>
    <row r="203" spans="1:13" x14ac:dyDescent="0.25">
      <c r="A203">
        <v>1.0049999999999999</v>
      </c>
      <c r="B203">
        <v>6.14</v>
      </c>
      <c r="C203">
        <v>5.22</v>
      </c>
      <c r="L203">
        <v>1.0049999999999999</v>
      </c>
      <c r="M203">
        <v>6.14</v>
      </c>
    </row>
    <row r="204" spans="1:13" x14ac:dyDescent="0.25">
      <c r="A204">
        <v>1.01</v>
      </c>
      <c r="B204">
        <v>6.18</v>
      </c>
      <c r="C204">
        <v>5.25</v>
      </c>
      <c r="L204">
        <v>1.01</v>
      </c>
      <c r="M204">
        <v>6.18</v>
      </c>
    </row>
    <row r="205" spans="1:13" x14ac:dyDescent="0.25">
      <c r="A205">
        <v>1.0149999999999999</v>
      </c>
      <c r="B205">
        <v>6.21</v>
      </c>
      <c r="C205">
        <v>5.28</v>
      </c>
      <c r="L205">
        <v>1.0149999999999999</v>
      </c>
      <c r="M205">
        <v>6.21</v>
      </c>
    </row>
    <row r="206" spans="1:13" x14ac:dyDescent="0.25">
      <c r="A206">
        <v>1.02</v>
      </c>
      <c r="B206">
        <v>6.25</v>
      </c>
      <c r="C206">
        <v>5.31</v>
      </c>
      <c r="L206">
        <v>1.02</v>
      </c>
      <c r="M206">
        <v>6.25</v>
      </c>
    </row>
    <row r="207" spans="1:13" x14ac:dyDescent="0.25">
      <c r="A207">
        <v>1.0249999999999999</v>
      </c>
      <c r="B207">
        <v>6.28</v>
      </c>
      <c r="C207">
        <v>5.34</v>
      </c>
      <c r="L207">
        <v>1.0249999999999999</v>
      </c>
      <c r="M207">
        <v>6.28</v>
      </c>
    </row>
    <row r="208" spans="1:13" x14ac:dyDescent="0.25">
      <c r="A208">
        <v>1.03</v>
      </c>
      <c r="B208">
        <v>6.31</v>
      </c>
      <c r="C208">
        <v>5.37</v>
      </c>
      <c r="L208">
        <v>1.03</v>
      </c>
      <c r="M208">
        <v>6.31</v>
      </c>
    </row>
    <row r="209" spans="1:13" x14ac:dyDescent="0.25">
      <c r="A209">
        <v>1.0349999999999999</v>
      </c>
      <c r="B209">
        <v>6.35</v>
      </c>
      <c r="C209">
        <v>5.39</v>
      </c>
      <c r="L209">
        <v>1.0349999999999999</v>
      </c>
      <c r="M209">
        <v>6.35</v>
      </c>
    </row>
    <row r="210" spans="1:13" x14ac:dyDescent="0.25">
      <c r="A210">
        <v>1.04</v>
      </c>
      <c r="B210">
        <v>6.38</v>
      </c>
      <c r="C210">
        <v>5.42</v>
      </c>
      <c r="L210">
        <v>1.04</v>
      </c>
      <c r="M210">
        <v>6.38</v>
      </c>
    </row>
    <row r="211" spans="1:13" x14ac:dyDescent="0.25">
      <c r="A211">
        <v>1.0449999999999999</v>
      </c>
      <c r="B211">
        <v>6.41</v>
      </c>
      <c r="C211">
        <v>5.45</v>
      </c>
      <c r="L211">
        <v>1.0449999999999999</v>
      </c>
      <c r="M211">
        <v>6.41</v>
      </c>
    </row>
    <row r="212" spans="1:13" x14ac:dyDescent="0.25">
      <c r="A212">
        <v>1.05</v>
      </c>
      <c r="B212">
        <v>6.45</v>
      </c>
      <c r="C212">
        <v>5.48</v>
      </c>
      <c r="L212">
        <v>1.05</v>
      </c>
      <c r="M212">
        <v>6.45</v>
      </c>
    </row>
    <row r="213" spans="1:13" x14ac:dyDescent="0.25">
      <c r="A213">
        <v>1.0549999999999999</v>
      </c>
      <c r="B213">
        <v>6.48</v>
      </c>
      <c r="C213">
        <v>5.51</v>
      </c>
      <c r="L213">
        <v>1.0549999999999999</v>
      </c>
      <c r="M213">
        <v>6.48</v>
      </c>
    </row>
    <row r="214" spans="1:13" x14ac:dyDescent="0.25">
      <c r="A214">
        <v>1.06</v>
      </c>
      <c r="B214">
        <v>6.52</v>
      </c>
      <c r="C214">
        <v>5.54</v>
      </c>
      <c r="L214">
        <v>1.06</v>
      </c>
      <c r="M214">
        <v>6.52</v>
      </c>
    </row>
    <row r="215" spans="1:13" x14ac:dyDescent="0.25">
      <c r="A215">
        <v>1.0649999999999999</v>
      </c>
      <c r="B215">
        <v>6.55</v>
      </c>
      <c r="C215">
        <v>5.57</v>
      </c>
      <c r="L215">
        <v>1.0649999999999999</v>
      </c>
      <c r="M215">
        <v>6.55</v>
      </c>
    </row>
    <row r="216" spans="1:13" x14ac:dyDescent="0.25">
      <c r="A216">
        <v>1.07</v>
      </c>
      <c r="B216">
        <v>6.58</v>
      </c>
      <c r="C216">
        <v>5.6</v>
      </c>
      <c r="L216">
        <v>1.07</v>
      </c>
      <c r="M216">
        <v>6.58</v>
      </c>
    </row>
    <row r="217" spans="1:13" x14ac:dyDescent="0.25">
      <c r="A217">
        <v>1.075</v>
      </c>
      <c r="B217">
        <v>6.62</v>
      </c>
      <c r="C217">
        <v>5.62</v>
      </c>
      <c r="L217">
        <v>1.075</v>
      </c>
      <c r="M217">
        <v>6.62</v>
      </c>
    </row>
    <row r="218" spans="1:13" x14ac:dyDescent="0.25">
      <c r="A218">
        <v>1.08</v>
      </c>
      <c r="B218">
        <v>6.65</v>
      </c>
      <c r="C218">
        <v>5.65</v>
      </c>
      <c r="L218">
        <v>1.08</v>
      </c>
      <c r="M218">
        <v>6.65</v>
      </c>
    </row>
    <row r="219" spans="1:13" x14ac:dyDescent="0.25">
      <c r="A219">
        <v>1.085</v>
      </c>
      <c r="B219">
        <v>6.68</v>
      </c>
      <c r="C219">
        <v>5.68</v>
      </c>
      <c r="L219">
        <v>1.085</v>
      </c>
      <c r="M219">
        <v>6.68</v>
      </c>
    </row>
    <row r="220" spans="1:13" x14ac:dyDescent="0.25">
      <c r="A220">
        <v>1.0900000000000001</v>
      </c>
      <c r="B220">
        <v>6.72</v>
      </c>
      <c r="C220">
        <v>5.71</v>
      </c>
      <c r="L220">
        <v>1.0900000000000001</v>
      </c>
      <c r="M220">
        <v>6.72</v>
      </c>
    </row>
    <row r="221" spans="1:13" x14ac:dyDescent="0.25">
      <c r="A221">
        <v>1.095</v>
      </c>
      <c r="B221">
        <v>6.75</v>
      </c>
      <c r="C221">
        <v>5.74</v>
      </c>
      <c r="L221">
        <v>1.095</v>
      </c>
      <c r="M221">
        <v>6.75</v>
      </c>
    </row>
    <row r="222" spans="1:13" x14ac:dyDescent="0.25">
      <c r="A222">
        <v>1.1000000000000001</v>
      </c>
      <c r="B222">
        <v>6.79</v>
      </c>
      <c r="C222">
        <v>5.77</v>
      </c>
      <c r="D222" s="12">
        <v>-0.29000000000000004</v>
      </c>
      <c r="L222">
        <v>1.1000000000000001</v>
      </c>
      <c r="M222">
        <v>6.79</v>
      </c>
    </row>
    <row r="223" spans="1:13" x14ac:dyDescent="0.25">
      <c r="A223">
        <v>1.105</v>
      </c>
      <c r="B223">
        <v>6.82</v>
      </c>
      <c r="C223">
        <v>5.8</v>
      </c>
      <c r="L223">
        <v>1.105</v>
      </c>
      <c r="M223">
        <v>6.82</v>
      </c>
    </row>
    <row r="224" spans="1:13" x14ac:dyDescent="0.25">
      <c r="A224">
        <v>1.1100000000000001</v>
      </c>
      <c r="B224">
        <v>6.85</v>
      </c>
      <c r="C224">
        <v>5.83</v>
      </c>
      <c r="L224">
        <v>1.1100000000000001</v>
      </c>
      <c r="M224">
        <v>6.85</v>
      </c>
    </row>
    <row r="225" spans="1:13" x14ac:dyDescent="0.25">
      <c r="A225">
        <v>1.115</v>
      </c>
      <c r="B225">
        <v>6.89</v>
      </c>
      <c r="C225">
        <v>5.85</v>
      </c>
      <c r="L225">
        <v>1.115</v>
      </c>
      <c r="M225">
        <v>6.89</v>
      </c>
    </row>
    <row r="226" spans="1:13" x14ac:dyDescent="0.25">
      <c r="A226">
        <v>1.1200000000000001</v>
      </c>
      <c r="B226">
        <v>6.92</v>
      </c>
      <c r="C226">
        <v>5.88</v>
      </c>
      <c r="L226">
        <v>1.1200000000000001</v>
      </c>
      <c r="M226">
        <v>6.92</v>
      </c>
    </row>
    <row r="227" spans="1:13" x14ac:dyDescent="0.25">
      <c r="A227">
        <v>1.125</v>
      </c>
      <c r="B227">
        <v>6.95</v>
      </c>
      <c r="C227">
        <v>5.91</v>
      </c>
      <c r="L227">
        <v>1.125</v>
      </c>
      <c r="M227">
        <v>6.95</v>
      </c>
    </row>
    <row r="228" spans="1:13" x14ac:dyDescent="0.25">
      <c r="A228">
        <v>1.1299999999999999</v>
      </c>
      <c r="B228">
        <v>6.99</v>
      </c>
      <c r="C228">
        <v>5.94</v>
      </c>
      <c r="L228">
        <v>1.1299999999999999</v>
      </c>
      <c r="M228">
        <v>6.99</v>
      </c>
    </row>
    <row r="229" spans="1:13" x14ac:dyDescent="0.25">
      <c r="A229">
        <v>1.135</v>
      </c>
      <c r="B229">
        <v>7.02</v>
      </c>
      <c r="C229">
        <v>5.97</v>
      </c>
      <c r="L229">
        <v>1.135</v>
      </c>
      <c r="M229">
        <v>7.02</v>
      </c>
    </row>
    <row r="230" spans="1:13" x14ac:dyDescent="0.25">
      <c r="A230">
        <v>1.1399999999999999</v>
      </c>
      <c r="B230">
        <v>7.06</v>
      </c>
      <c r="C230">
        <v>6</v>
      </c>
      <c r="L230">
        <v>1.1399999999999999</v>
      </c>
      <c r="M230">
        <v>7.06</v>
      </c>
    </row>
    <row r="231" spans="1:13" x14ac:dyDescent="0.25">
      <c r="A231">
        <v>1.145</v>
      </c>
      <c r="B231">
        <v>7.09</v>
      </c>
      <c r="C231">
        <v>6.03</v>
      </c>
      <c r="L231">
        <v>1.145</v>
      </c>
      <c r="M231">
        <v>7.09</v>
      </c>
    </row>
    <row r="232" spans="1:13" x14ac:dyDescent="0.25">
      <c r="A232">
        <v>1.1499999999999999</v>
      </c>
      <c r="B232">
        <v>7.12</v>
      </c>
      <c r="C232">
        <v>6.05</v>
      </c>
      <c r="L232">
        <v>1.1499999999999999</v>
      </c>
      <c r="M232">
        <v>7.12</v>
      </c>
    </row>
    <row r="233" spans="1:13" x14ac:dyDescent="0.25">
      <c r="A233">
        <v>1.155</v>
      </c>
      <c r="B233">
        <v>7.16</v>
      </c>
      <c r="C233">
        <v>6.08</v>
      </c>
      <c r="L233">
        <v>1.155</v>
      </c>
      <c r="M233">
        <v>7.16</v>
      </c>
    </row>
    <row r="234" spans="1:13" x14ac:dyDescent="0.25">
      <c r="A234">
        <v>1.1599999999999999</v>
      </c>
      <c r="B234">
        <v>7.19</v>
      </c>
      <c r="C234">
        <v>6.11</v>
      </c>
      <c r="L234">
        <v>1.1599999999999999</v>
      </c>
      <c r="M234">
        <v>7.19</v>
      </c>
    </row>
    <row r="235" spans="1:13" x14ac:dyDescent="0.25">
      <c r="A235">
        <v>1.165</v>
      </c>
      <c r="B235">
        <v>7.22</v>
      </c>
      <c r="C235">
        <v>6.14</v>
      </c>
      <c r="L235">
        <v>1.165</v>
      </c>
      <c r="M235">
        <v>7.22</v>
      </c>
    </row>
    <row r="236" spans="1:13" x14ac:dyDescent="0.25">
      <c r="A236">
        <v>1.17</v>
      </c>
      <c r="B236">
        <v>7.26</v>
      </c>
      <c r="C236">
        <v>6.17</v>
      </c>
      <c r="L236">
        <v>1.17</v>
      </c>
      <c r="M236">
        <v>7.26</v>
      </c>
    </row>
    <row r="237" spans="1:13" x14ac:dyDescent="0.25">
      <c r="A237">
        <v>1.175</v>
      </c>
      <c r="B237">
        <v>7.29</v>
      </c>
      <c r="C237">
        <v>6.2</v>
      </c>
      <c r="L237">
        <v>1.175</v>
      </c>
      <c r="M237">
        <v>7.29</v>
      </c>
    </row>
    <row r="238" spans="1:13" x14ac:dyDescent="0.25">
      <c r="A238">
        <v>1.18</v>
      </c>
      <c r="B238">
        <v>7.33</v>
      </c>
      <c r="C238">
        <v>6.23</v>
      </c>
      <c r="L238">
        <v>1.18</v>
      </c>
      <c r="M238">
        <v>7.33</v>
      </c>
    </row>
    <row r="239" spans="1:13" x14ac:dyDescent="0.25">
      <c r="A239">
        <v>1.1850000000000001</v>
      </c>
      <c r="B239">
        <v>7.36</v>
      </c>
      <c r="C239">
        <v>6.26</v>
      </c>
      <c r="L239">
        <v>1.1850000000000001</v>
      </c>
      <c r="M239">
        <v>7.36</v>
      </c>
    </row>
    <row r="240" spans="1:13" x14ac:dyDescent="0.25">
      <c r="A240">
        <v>1.19</v>
      </c>
      <c r="B240">
        <v>7.39</v>
      </c>
      <c r="C240">
        <v>6.28</v>
      </c>
      <c r="L240">
        <v>1.19</v>
      </c>
      <c r="M240">
        <v>7.39</v>
      </c>
    </row>
    <row r="241" spans="1:13" x14ac:dyDescent="0.25">
      <c r="A241">
        <v>1.1950000000000001</v>
      </c>
      <c r="B241">
        <v>7.43</v>
      </c>
      <c r="C241">
        <v>6.31</v>
      </c>
      <c r="L241">
        <v>1.1950000000000001</v>
      </c>
      <c r="M241">
        <v>7.43</v>
      </c>
    </row>
    <row r="242" spans="1:13" x14ac:dyDescent="0.25">
      <c r="A242">
        <v>1.2</v>
      </c>
      <c r="B242">
        <v>7.46</v>
      </c>
      <c r="C242">
        <v>6.34</v>
      </c>
      <c r="D242" s="12">
        <v>-0.11000000000000032</v>
      </c>
      <c r="L242">
        <v>1.2</v>
      </c>
      <c r="M242">
        <v>7.46</v>
      </c>
    </row>
    <row r="243" spans="1:13" x14ac:dyDescent="0.25">
      <c r="A243">
        <v>1.2050000000000001</v>
      </c>
      <c r="B243">
        <v>7.49</v>
      </c>
      <c r="C243">
        <v>6.37</v>
      </c>
      <c r="L243">
        <v>1.2050000000000001</v>
      </c>
      <c r="M243">
        <v>7.49</v>
      </c>
    </row>
    <row r="244" spans="1:13" x14ac:dyDescent="0.25">
      <c r="A244">
        <v>1.21</v>
      </c>
      <c r="B244">
        <v>7.53</v>
      </c>
      <c r="C244">
        <v>6.4</v>
      </c>
      <c r="L244">
        <v>1.21</v>
      </c>
      <c r="M244">
        <v>7.53</v>
      </c>
    </row>
    <row r="245" spans="1:13" x14ac:dyDescent="0.25">
      <c r="A245">
        <v>1.2150000000000001</v>
      </c>
      <c r="B245">
        <v>7.56</v>
      </c>
      <c r="C245">
        <v>6.43</v>
      </c>
      <c r="L245">
        <v>1.2150000000000001</v>
      </c>
      <c r="M245">
        <v>7.56</v>
      </c>
    </row>
    <row r="246" spans="1:13" x14ac:dyDescent="0.25">
      <c r="A246">
        <v>1.22</v>
      </c>
      <c r="B246">
        <v>7.6</v>
      </c>
      <c r="C246">
        <v>6.46</v>
      </c>
      <c r="L246">
        <v>1.22</v>
      </c>
      <c r="M246">
        <v>7.6</v>
      </c>
    </row>
    <row r="247" spans="1:13" x14ac:dyDescent="0.25">
      <c r="A247">
        <v>1.2250000000000001</v>
      </c>
      <c r="B247">
        <v>7.63</v>
      </c>
      <c r="C247">
        <v>6.48</v>
      </c>
      <c r="L247">
        <v>1.2250000000000001</v>
      </c>
      <c r="M247">
        <v>7.63</v>
      </c>
    </row>
    <row r="248" spans="1:13" x14ac:dyDescent="0.25">
      <c r="A248">
        <v>1.23</v>
      </c>
      <c r="B248">
        <v>7.66</v>
      </c>
      <c r="C248">
        <v>6.51</v>
      </c>
      <c r="L248">
        <v>1.23</v>
      </c>
      <c r="M248">
        <v>7.66</v>
      </c>
    </row>
    <row r="249" spans="1:13" x14ac:dyDescent="0.25">
      <c r="A249">
        <v>1.2350000000000001</v>
      </c>
      <c r="B249">
        <v>7.7</v>
      </c>
      <c r="C249">
        <v>6.54</v>
      </c>
      <c r="L249">
        <v>1.2350000000000001</v>
      </c>
      <c r="M249">
        <v>7.7</v>
      </c>
    </row>
    <row r="250" spans="1:13" x14ac:dyDescent="0.25">
      <c r="A250">
        <v>1.24</v>
      </c>
      <c r="B250">
        <v>7.73</v>
      </c>
      <c r="C250">
        <v>6.57</v>
      </c>
      <c r="L250">
        <v>1.24</v>
      </c>
      <c r="M250">
        <v>7.73</v>
      </c>
    </row>
    <row r="251" spans="1:13" x14ac:dyDescent="0.25">
      <c r="A251">
        <v>1.2450000000000001</v>
      </c>
      <c r="B251">
        <v>7.76</v>
      </c>
      <c r="C251">
        <v>6.6</v>
      </c>
      <c r="L251">
        <v>1.2450000000000001</v>
      </c>
      <c r="M251">
        <v>7.76</v>
      </c>
    </row>
    <row r="252" spans="1:13" x14ac:dyDescent="0.25">
      <c r="A252">
        <v>1.25</v>
      </c>
      <c r="B252">
        <v>7.8</v>
      </c>
      <c r="C252">
        <v>6.63</v>
      </c>
      <c r="L252">
        <v>1.25</v>
      </c>
      <c r="M252">
        <v>7.8</v>
      </c>
    </row>
    <row r="253" spans="1:13" x14ac:dyDescent="0.25">
      <c r="A253">
        <v>1.2549999999999999</v>
      </c>
      <c r="B253">
        <v>7.83</v>
      </c>
      <c r="C253">
        <v>6.66</v>
      </c>
      <c r="L253">
        <v>1.2549999999999999</v>
      </c>
      <c r="M253">
        <v>7.83</v>
      </c>
    </row>
    <row r="254" spans="1:13" x14ac:dyDescent="0.25">
      <c r="A254">
        <v>1.26</v>
      </c>
      <c r="B254">
        <v>7.87</v>
      </c>
      <c r="C254">
        <v>6.69</v>
      </c>
      <c r="L254">
        <v>1.26</v>
      </c>
      <c r="M254">
        <v>7.87</v>
      </c>
    </row>
    <row r="255" spans="1:13" x14ac:dyDescent="0.25">
      <c r="A255">
        <v>1.2649999999999999</v>
      </c>
      <c r="B255">
        <v>7.9</v>
      </c>
      <c r="C255">
        <v>6.71</v>
      </c>
      <c r="L255">
        <v>1.2649999999999999</v>
      </c>
      <c r="M255">
        <v>7.9</v>
      </c>
    </row>
    <row r="256" spans="1:13" x14ac:dyDescent="0.25">
      <c r="A256">
        <v>1.27</v>
      </c>
      <c r="B256">
        <v>7.93</v>
      </c>
      <c r="C256">
        <v>6.74</v>
      </c>
      <c r="L256">
        <v>1.27</v>
      </c>
      <c r="M256">
        <v>7.93</v>
      </c>
    </row>
    <row r="257" spans="1:13" x14ac:dyDescent="0.25">
      <c r="A257">
        <v>1.2749999999999999</v>
      </c>
      <c r="B257">
        <v>7.97</v>
      </c>
      <c r="C257">
        <v>6.77</v>
      </c>
      <c r="L257">
        <v>1.2749999999999999</v>
      </c>
      <c r="M257">
        <v>7.97</v>
      </c>
    </row>
    <row r="258" spans="1:13" x14ac:dyDescent="0.25">
      <c r="A258">
        <v>1.28</v>
      </c>
      <c r="B258">
        <v>8</v>
      </c>
      <c r="C258">
        <v>6.8</v>
      </c>
      <c r="L258">
        <v>1.28</v>
      </c>
      <c r="M258">
        <v>8</v>
      </c>
    </row>
    <row r="259" spans="1:13" x14ac:dyDescent="0.25">
      <c r="A259">
        <v>1.2849999999999999</v>
      </c>
      <c r="B259">
        <v>8.0299999999999994</v>
      </c>
      <c r="C259">
        <v>6.83</v>
      </c>
      <c r="L259">
        <v>1.2849999999999999</v>
      </c>
      <c r="M259">
        <v>8.0299999999999994</v>
      </c>
    </row>
    <row r="260" spans="1:13" x14ac:dyDescent="0.25">
      <c r="A260">
        <v>1.29</v>
      </c>
      <c r="B260">
        <v>8.07</v>
      </c>
      <c r="C260">
        <v>6.86</v>
      </c>
      <c r="L260">
        <v>1.29</v>
      </c>
      <c r="M260">
        <v>8.07</v>
      </c>
    </row>
    <row r="261" spans="1:13" x14ac:dyDescent="0.25">
      <c r="A261">
        <v>1.2949999999999999</v>
      </c>
      <c r="B261">
        <v>8.1</v>
      </c>
      <c r="C261">
        <v>6.89</v>
      </c>
      <c r="L261">
        <v>1.2949999999999999</v>
      </c>
      <c r="M261">
        <v>8.1</v>
      </c>
    </row>
    <row r="262" spans="1:13" x14ac:dyDescent="0.25">
      <c r="A262">
        <v>1.3</v>
      </c>
      <c r="B262">
        <v>8.14</v>
      </c>
      <c r="C262">
        <v>6.92</v>
      </c>
      <c r="D262" s="12">
        <v>-0.14000000000000057</v>
      </c>
      <c r="L262">
        <v>1.3</v>
      </c>
      <c r="M262">
        <v>8.14</v>
      </c>
    </row>
    <row r="263" spans="1:13" x14ac:dyDescent="0.25">
      <c r="A263">
        <v>1.3049999999999999</v>
      </c>
      <c r="B263">
        <v>8.17</v>
      </c>
      <c r="C263">
        <v>6.94</v>
      </c>
      <c r="L263">
        <v>1.3049999999999999</v>
      </c>
      <c r="M263">
        <v>8.17</v>
      </c>
    </row>
    <row r="264" spans="1:13" x14ac:dyDescent="0.25">
      <c r="A264">
        <v>1.31</v>
      </c>
      <c r="B264">
        <v>8.1999999999999993</v>
      </c>
      <c r="C264">
        <v>6.97</v>
      </c>
      <c r="L264">
        <v>1.31</v>
      </c>
      <c r="M264">
        <v>8.1999999999999993</v>
      </c>
    </row>
    <row r="265" spans="1:13" x14ac:dyDescent="0.25">
      <c r="A265">
        <v>1.3149999999999999</v>
      </c>
      <c r="B265">
        <v>8.24</v>
      </c>
      <c r="C265">
        <v>7</v>
      </c>
      <c r="L265">
        <v>1.3149999999999999</v>
      </c>
      <c r="M265">
        <v>8.24</v>
      </c>
    </row>
    <row r="266" spans="1:13" x14ac:dyDescent="0.25">
      <c r="A266">
        <v>1.32</v>
      </c>
      <c r="B266">
        <v>8.27</v>
      </c>
      <c r="C266">
        <v>7.03</v>
      </c>
      <c r="L266">
        <v>1.32</v>
      </c>
      <c r="M266">
        <v>8.27</v>
      </c>
    </row>
    <row r="267" spans="1:13" x14ac:dyDescent="0.25">
      <c r="A267">
        <v>1.325</v>
      </c>
      <c r="B267">
        <v>8.3000000000000007</v>
      </c>
      <c r="C267">
        <v>7.06</v>
      </c>
      <c r="L267">
        <v>1.325</v>
      </c>
      <c r="M267">
        <v>8.3000000000000007</v>
      </c>
    </row>
    <row r="268" spans="1:13" x14ac:dyDescent="0.25">
      <c r="A268">
        <v>1.33</v>
      </c>
      <c r="B268">
        <v>8.34</v>
      </c>
      <c r="C268">
        <v>7.09</v>
      </c>
      <c r="L268">
        <v>1.33</v>
      </c>
      <c r="M268">
        <v>8.34</v>
      </c>
    </row>
    <row r="269" spans="1:13" x14ac:dyDescent="0.25">
      <c r="A269">
        <v>1.335</v>
      </c>
      <c r="B269">
        <v>8.3699999999999992</v>
      </c>
      <c r="C269">
        <v>7.12</v>
      </c>
      <c r="L269">
        <v>1.335</v>
      </c>
      <c r="M269">
        <v>8.3699999999999992</v>
      </c>
    </row>
    <row r="270" spans="1:13" x14ac:dyDescent="0.25">
      <c r="A270">
        <v>1.34</v>
      </c>
      <c r="B270">
        <v>8.41</v>
      </c>
      <c r="C270">
        <v>7.14</v>
      </c>
      <c r="L270">
        <v>1.34</v>
      </c>
      <c r="M270">
        <v>8.41</v>
      </c>
    </row>
    <row r="271" spans="1:13" x14ac:dyDescent="0.25">
      <c r="A271">
        <v>1.345</v>
      </c>
      <c r="B271">
        <v>8.44</v>
      </c>
      <c r="C271">
        <v>7.17</v>
      </c>
      <c r="L271">
        <v>1.345</v>
      </c>
      <c r="M271">
        <v>8.44</v>
      </c>
    </row>
    <row r="272" spans="1:13" x14ac:dyDescent="0.25">
      <c r="A272">
        <v>1.35</v>
      </c>
      <c r="B272">
        <v>8.4700000000000006</v>
      </c>
      <c r="C272">
        <v>7.2</v>
      </c>
      <c r="L272">
        <v>1.35</v>
      </c>
      <c r="M272">
        <v>8.4700000000000006</v>
      </c>
    </row>
    <row r="273" spans="1:13" x14ac:dyDescent="0.25">
      <c r="A273">
        <v>1.355</v>
      </c>
      <c r="B273">
        <v>8.51</v>
      </c>
      <c r="C273">
        <v>7.23</v>
      </c>
      <c r="L273">
        <v>1.355</v>
      </c>
      <c r="M273">
        <v>8.51</v>
      </c>
    </row>
    <row r="274" spans="1:13" x14ac:dyDescent="0.25">
      <c r="A274">
        <v>1.36</v>
      </c>
      <c r="B274">
        <v>8.5399999999999991</v>
      </c>
      <c r="C274">
        <v>7.26</v>
      </c>
      <c r="L274">
        <v>1.36</v>
      </c>
      <c r="M274">
        <v>8.5399999999999991</v>
      </c>
    </row>
    <row r="275" spans="1:13" x14ac:dyDescent="0.25">
      <c r="A275">
        <v>1.365</v>
      </c>
      <c r="B275">
        <v>8.57</v>
      </c>
      <c r="C275">
        <v>7.29</v>
      </c>
      <c r="L275">
        <v>1.365</v>
      </c>
      <c r="M275">
        <v>8.57</v>
      </c>
    </row>
    <row r="276" spans="1:13" x14ac:dyDescent="0.25">
      <c r="A276">
        <v>1.37</v>
      </c>
      <c r="B276">
        <v>8.61</v>
      </c>
      <c r="C276">
        <v>7.32</v>
      </c>
      <c r="L276">
        <v>1.37</v>
      </c>
      <c r="M276">
        <v>8.61</v>
      </c>
    </row>
    <row r="277" spans="1:13" x14ac:dyDescent="0.25">
      <c r="A277">
        <v>1.375</v>
      </c>
      <c r="B277">
        <v>8.64</v>
      </c>
      <c r="C277">
        <v>7.35</v>
      </c>
      <c r="L277">
        <v>1.375</v>
      </c>
      <c r="M277">
        <v>8.64</v>
      </c>
    </row>
    <row r="278" spans="1:13" x14ac:dyDescent="0.25">
      <c r="A278">
        <v>1.38</v>
      </c>
      <c r="B278">
        <v>8.68</v>
      </c>
      <c r="C278">
        <v>7.37</v>
      </c>
      <c r="L278">
        <v>1.38</v>
      </c>
      <c r="M278">
        <v>8.68</v>
      </c>
    </row>
    <row r="279" spans="1:13" x14ac:dyDescent="0.25">
      <c r="A279">
        <v>1.385</v>
      </c>
      <c r="B279">
        <v>8.7100000000000009</v>
      </c>
      <c r="C279">
        <v>7.4</v>
      </c>
      <c r="L279">
        <v>1.385</v>
      </c>
      <c r="M279">
        <v>8.7100000000000009</v>
      </c>
    </row>
    <row r="280" spans="1:13" x14ac:dyDescent="0.25">
      <c r="A280">
        <v>1.39</v>
      </c>
      <c r="B280">
        <v>8.74</v>
      </c>
      <c r="C280">
        <v>7.43</v>
      </c>
      <c r="L280">
        <v>1.39</v>
      </c>
      <c r="M280">
        <v>8.74</v>
      </c>
    </row>
    <row r="281" spans="1:13" x14ac:dyDescent="0.25">
      <c r="A281">
        <v>1.395</v>
      </c>
      <c r="B281">
        <v>8.7799999999999994</v>
      </c>
      <c r="C281">
        <v>7.46</v>
      </c>
      <c r="L281">
        <v>1.395</v>
      </c>
      <c r="M281">
        <v>8.7799999999999994</v>
      </c>
    </row>
    <row r="282" spans="1:13" x14ac:dyDescent="0.25">
      <c r="A282">
        <v>1.4</v>
      </c>
      <c r="B282">
        <v>8.81</v>
      </c>
      <c r="C282">
        <v>7.49</v>
      </c>
      <c r="D282" s="12">
        <v>0.1899999999999995</v>
      </c>
      <c r="L282">
        <v>1.4</v>
      </c>
      <c r="M282">
        <v>8.81</v>
      </c>
    </row>
    <row r="283" spans="1:13" x14ac:dyDescent="0.25">
      <c r="A283">
        <v>1.405</v>
      </c>
      <c r="B283">
        <v>8.84</v>
      </c>
      <c r="C283">
        <v>7.52</v>
      </c>
      <c r="L283">
        <v>1.405</v>
      </c>
      <c r="M283">
        <v>8.84</v>
      </c>
    </row>
    <row r="284" spans="1:13" x14ac:dyDescent="0.25">
      <c r="A284">
        <v>1.41</v>
      </c>
      <c r="B284">
        <v>8.8800000000000008</v>
      </c>
      <c r="C284">
        <v>7.55</v>
      </c>
      <c r="L284">
        <v>1.41</v>
      </c>
      <c r="M284">
        <v>8.8800000000000008</v>
      </c>
    </row>
    <row r="285" spans="1:13" x14ac:dyDescent="0.25">
      <c r="A285">
        <v>1.415</v>
      </c>
      <c r="B285">
        <v>8.91</v>
      </c>
      <c r="C285">
        <v>7.58</v>
      </c>
      <c r="L285">
        <v>1.415</v>
      </c>
      <c r="M285">
        <v>8.91</v>
      </c>
    </row>
    <row r="286" spans="1:13" x14ac:dyDescent="0.25">
      <c r="A286">
        <v>1.42</v>
      </c>
      <c r="B286">
        <v>8.9499999999999993</v>
      </c>
      <c r="C286">
        <v>7.6</v>
      </c>
      <c r="L286">
        <v>1.42</v>
      </c>
      <c r="M286">
        <v>8.9499999999999993</v>
      </c>
    </row>
    <row r="287" spans="1:13" x14ac:dyDescent="0.25">
      <c r="A287">
        <v>1.425</v>
      </c>
      <c r="B287">
        <v>8.98</v>
      </c>
      <c r="C287">
        <v>7.63</v>
      </c>
      <c r="L287">
        <v>1.425</v>
      </c>
      <c r="M287">
        <v>8.98</v>
      </c>
    </row>
    <row r="288" spans="1:13" x14ac:dyDescent="0.25">
      <c r="A288">
        <v>1.43</v>
      </c>
      <c r="B288">
        <v>9.01</v>
      </c>
      <c r="C288">
        <v>7.66</v>
      </c>
      <c r="L288">
        <v>1.43</v>
      </c>
      <c r="M288">
        <v>9.01</v>
      </c>
    </row>
    <row r="289" spans="1:13" x14ac:dyDescent="0.25">
      <c r="A289">
        <v>1.4350000000000001</v>
      </c>
      <c r="B289">
        <v>9.0500000000000007</v>
      </c>
      <c r="C289">
        <v>7.69</v>
      </c>
      <c r="L289">
        <v>1.4350000000000001</v>
      </c>
      <c r="M289">
        <v>9.0500000000000007</v>
      </c>
    </row>
    <row r="290" spans="1:13" x14ac:dyDescent="0.25">
      <c r="A290">
        <v>1.44</v>
      </c>
      <c r="B290">
        <v>9.08</v>
      </c>
      <c r="C290">
        <v>7.72</v>
      </c>
      <c r="L290">
        <v>1.44</v>
      </c>
      <c r="M290">
        <v>9.08</v>
      </c>
    </row>
    <row r="291" spans="1:13" x14ac:dyDescent="0.25">
      <c r="A291">
        <v>1.4450000000000001</v>
      </c>
      <c r="B291">
        <v>9.11</v>
      </c>
      <c r="C291">
        <v>7.75</v>
      </c>
      <c r="L291">
        <v>1.4450000000000001</v>
      </c>
      <c r="M291">
        <v>9.11</v>
      </c>
    </row>
    <row r="292" spans="1:13" x14ac:dyDescent="0.25">
      <c r="A292">
        <v>1.45</v>
      </c>
      <c r="B292">
        <v>9.15</v>
      </c>
      <c r="C292">
        <v>7.78</v>
      </c>
      <c r="L292">
        <v>1.45</v>
      </c>
      <c r="M292">
        <v>9.15</v>
      </c>
    </row>
    <row r="293" spans="1:13" x14ac:dyDescent="0.25">
      <c r="A293">
        <v>1.4550000000000001</v>
      </c>
      <c r="B293">
        <v>9.18</v>
      </c>
      <c r="C293">
        <v>7.8</v>
      </c>
      <c r="L293">
        <v>1.4550000000000001</v>
      </c>
      <c r="M293">
        <v>9.18</v>
      </c>
    </row>
    <row r="294" spans="1:13" x14ac:dyDescent="0.25">
      <c r="A294">
        <v>1.46</v>
      </c>
      <c r="B294">
        <v>9.2200000000000006</v>
      </c>
      <c r="C294">
        <v>7.83</v>
      </c>
      <c r="L294">
        <v>1.46</v>
      </c>
      <c r="M294">
        <v>9.2200000000000006</v>
      </c>
    </row>
    <row r="295" spans="1:13" x14ac:dyDescent="0.25">
      <c r="A295">
        <v>1.4650000000000001</v>
      </c>
      <c r="B295">
        <v>9.25</v>
      </c>
      <c r="C295">
        <v>7.86</v>
      </c>
      <c r="L295">
        <v>1.4650000000000001</v>
      </c>
      <c r="M295">
        <v>9.25</v>
      </c>
    </row>
    <row r="296" spans="1:13" x14ac:dyDescent="0.25">
      <c r="A296">
        <v>1.47</v>
      </c>
      <c r="B296">
        <v>9.2799999999999994</v>
      </c>
      <c r="C296">
        <v>7.89</v>
      </c>
      <c r="L296">
        <v>1.47</v>
      </c>
      <c r="M296">
        <v>9.2799999999999994</v>
      </c>
    </row>
    <row r="297" spans="1:13" x14ac:dyDescent="0.25">
      <c r="A297">
        <v>1.4750000000000001</v>
      </c>
      <c r="B297">
        <v>9.32</v>
      </c>
      <c r="C297">
        <v>7.92</v>
      </c>
      <c r="L297">
        <v>1.4750000000000001</v>
      </c>
      <c r="M297">
        <v>9.32</v>
      </c>
    </row>
    <row r="298" spans="1:13" x14ac:dyDescent="0.25">
      <c r="A298">
        <v>1.48</v>
      </c>
      <c r="B298">
        <v>9.35</v>
      </c>
      <c r="C298">
        <v>7.95</v>
      </c>
      <c r="L298">
        <v>1.48</v>
      </c>
      <c r="M298">
        <v>9.35</v>
      </c>
    </row>
    <row r="299" spans="1:13" x14ac:dyDescent="0.25">
      <c r="A299">
        <v>1.4850000000000001</v>
      </c>
      <c r="B299">
        <v>9.3800000000000008</v>
      </c>
      <c r="C299">
        <v>7.98</v>
      </c>
      <c r="L299">
        <v>1.4850000000000001</v>
      </c>
      <c r="M299">
        <v>9.3800000000000008</v>
      </c>
    </row>
    <row r="300" spans="1:13" x14ac:dyDescent="0.25">
      <c r="A300">
        <v>1.49</v>
      </c>
      <c r="B300">
        <v>9.42</v>
      </c>
      <c r="C300">
        <v>8.01</v>
      </c>
      <c r="L300">
        <v>1.49</v>
      </c>
      <c r="M300">
        <v>9.42</v>
      </c>
    </row>
    <row r="301" spans="1:13" x14ac:dyDescent="0.25">
      <c r="A301">
        <v>1.4950000000000001</v>
      </c>
      <c r="B301">
        <v>9.4499999999999993</v>
      </c>
      <c r="C301">
        <v>8.0299999999999994</v>
      </c>
      <c r="L301">
        <v>1.4950000000000001</v>
      </c>
      <c r="M301">
        <v>9.4499999999999993</v>
      </c>
    </row>
    <row r="302" spans="1:13" x14ac:dyDescent="0.25">
      <c r="A302">
        <v>1.5</v>
      </c>
      <c r="B302">
        <v>9.49</v>
      </c>
      <c r="C302">
        <v>8.06</v>
      </c>
      <c r="D302" s="12">
        <v>9.9999999999997868E-3</v>
      </c>
      <c r="L302">
        <v>1.5</v>
      </c>
      <c r="M302">
        <v>9.49</v>
      </c>
    </row>
    <row r="303" spans="1:13" x14ac:dyDescent="0.25">
      <c r="A303">
        <v>1.5049999999999999</v>
      </c>
      <c r="B303">
        <v>9.52</v>
      </c>
      <c r="C303">
        <v>8.09</v>
      </c>
      <c r="L303">
        <v>1.5049999999999999</v>
      </c>
      <c r="M303">
        <v>9.52</v>
      </c>
    </row>
    <row r="304" spans="1:13" x14ac:dyDescent="0.25">
      <c r="A304">
        <v>1.51</v>
      </c>
      <c r="B304">
        <v>9.5500000000000007</v>
      </c>
      <c r="C304">
        <v>8.1199999999999992</v>
      </c>
      <c r="L304">
        <v>1.51</v>
      </c>
      <c r="M304">
        <v>9.5500000000000007</v>
      </c>
    </row>
    <row r="305" spans="1:13" x14ac:dyDescent="0.25">
      <c r="A305">
        <v>1.5149999999999999</v>
      </c>
      <c r="B305">
        <v>9.59</v>
      </c>
      <c r="C305">
        <v>8.15</v>
      </c>
      <c r="L305">
        <v>1.5149999999999999</v>
      </c>
      <c r="M305">
        <v>9.59</v>
      </c>
    </row>
    <row r="306" spans="1:13" x14ac:dyDescent="0.25">
      <c r="A306">
        <v>1.52</v>
      </c>
      <c r="B306">
        <v>9.6199999999999992</v>
      </c>
      <c r="C306">
        <v>8.18</v>
      </c>
      <c r="L306">
        <v>1.52</v>
      </c>
      <c r="M306">
        <v>9.6199999999999992</v>
      </c>
    </row>
    <row r="307" spans="1:13" x14ac:dyDescent="0.25">
      <c r="A307">
        <v>1.5249999999999999</v>
      </c>
      <c r="B307">
        <v>9.65</v>
      </c>
      <c r="C307">
        <v>8.2100000000000009</v>
      </c>
      <c r="L307">
        <v>1.5249999999999999</v>
      </c>
      <c r="M307">
        <v>9.65</v>
      </c>
    </row>
    <row r="308" spans="1:13" x14ac:dyDescent="0.25">
      <c r="A308">
        <v>1.53</v>
      </c>
      <c r="B308">
        <v>9.69</v>
      </c>
      <c r="C308">
        <v>8.23</v>
      </c>
      <c r="L308">
        <v>1.53</v>
      </c>
      <c r="M308">
        <v>9.69</v>
      </c>
    </row>
    <row r="309" spans="1:13" x14ac:dyDescent="0.25">
      <c r="A309">
        <v>1.5349999999999999</v>
      </c>
      <c r="B309">
        <v>9.7200000000000006</v>
      </c>
      <c r="C309">
        <v>8.26</v>
      </c>
      <c r="L309">
        <v>1.5349999999999999</v>
      </c>
      <c r="M309">
        <v>9.7200000000000006</v>
      </c>
    </row>
    <row r="310" spans="1:13" x14ac:dyDescent="0.25">
      <c r="A310">
        <v>1.54</v>
      </c>
      <c r="B310">
        <v>9.76</v>
      </c>
      <c r="C310">
        <v>8.2899999999999991</v>
      </c>
      <c r="L310">
        <v>1.54</v>
      </c>
      <c r="M310">
        <v>9.76</v>
      </c>
    </row>
    <row r="311" spans="1:13" x14ac:dyDescent="0.25">
      <c r="A311">
        <v>1.5449999999999999</v>
      </c>
      <c r="B311">
        <v>9.7899999999999991</v>
      </c>
      <c r="C311">
        <v>8.32</v>
      </c>
      <c r="L311">
        <v>1.5449999999999999</v>
      </c>
      <c r="M311">
        <v>9.7899999999999991</v>
      </c>
    </row>
    <row r="312" spans="1:13" x14ac:dyDescent="0.25">
      <c r="A312">
        <v>1.55</v>
      </c>
      <c r="B312">
        <v>9.82</v>
      </c>
      <c r="C312">
        <v>8.35</v>
      </c>
      <c r="L312">
        <v>1.55</v>
      </c>
      <c r="M312">
        <v>9.82</v>
      </c>
    </row>
    <row r="313" spans="1:13" x14ac:dyDescent="0.25">
      <c r="A313">
        <v>1.5549999999999999</v>
      </c>
      <c r="B313">
        <v>9.86</v>
      </c>
      <c r="C313">
        <v>8.3800000000000008</v>
      </c>
      <c r="L313">
        <v>1.5549999999999999</v>
      </c>
      <c r="M313">
        <v>9.86</v>
      </c>
    </row>
    <row r="314" spans="1:13" x14ac:dyDescent="0.25">
      <c r="A314">
        <v>1.56</v>
      </c>
      <c r="B314">
        <v>9.89</v>
      </c>
      <c r="C314">
        <v>8.41</v>
      </c>
      <c r="L314">
        <v>1.56</v>
      </c>
      <c r="M314">
        <v>9.89</v>
      </c>
    </row>
    <row r="315" spans="1:13" x14ac:dyDescent="0.25">
      <c r="A315">
        <v>1.5649999999999999</v>
      </c>
      <c r="B315">
        <v>9.92</v>
      </c>
      <c r="C315">
        <v>8.44</v>
      </c>
      <c r="L315">
        <v>1.5649999999999999</v>
      </c>
      <c r="M315">
        <v>9.92</v>
      </c>
    </row>
    <row r="316" spans="1:13" x14ac:dyDescent="0.25">
      <c r="A316">
        <v>1.57</v>
      </c>
      <c r="B316">
        <v>9.9600000000000009</v>
      </c>
      <c r="C316">
        <v>8.4600000000000009</v>
      </c>
      <c r="L316">
        <v>1.57</v>
      </c>
      <c r="M316">
        <v>9.9600000000000009</v>
      </c>
    </row>
    <row r="317" spans="1:13" x14ac:dyDescent="0.25">
      <c r="A317">
        <v>1.575</v>
      </c>
      <c r="B317">
        <v>9.99</v>
      </c>
      <c r="C317">
        <v>8.49</v>
      </c>
      <c r="L317">
        <v>1.575</v>
      </c>
      <c r="M317">
        <v>9.99</v>
      </c>
    </row>
    <row r="318" spans="1:13" x14ac:dyDescent="0.25">
      <c r="A318">
        <v>1.58</v>
      </c>
      <c r="B318">
        <v>10.029999999999999</v>
      </c>
      <c r="C318">
        <v>8.52</v>
      </c>
      <c r="L318">
        <v>1.58</v>
      </c>
      <c r="M318">
        <v>10.029999999999999</v>
      </c>
    </row>
    <row r="319" spans="1:13" x14ac:dyDescent="0.25">
      <c r="A319">
        <v>1.585</v>
      </c>
      <c r="B319">
        <v>10.06</v>
      </c>
      <c r="C319">
        <v>8.5500000000000007</v>
      </c>
      <c r="L319">
        <v>1.585</v>
      </c>
      <c r="M319">
        <v>10.06</v>
      </c>
    </row>
    <row r="320" spans="1:13" x14ac:dyDescent="0.25">
      <c r="A320">
        <v>1.59</v>
      </c>
      <c r="B320">
        <v>10.09</v>
      </c>
      <c r="C320">
        <v>8.58</v>
      </c>
      <c r="L320">
        <v>1.59</v>
      </c>
      <c r="M320">
        <v>10.09</v>
      </c>
    </row>
    <row r="321" spans="1:13" x14ac:dyDescent="0.25">
      <c r="A321">
        <v>1.595</v>
      </c>
      <c r="B321">
        <v>10.130000000000001</v>
      </c>
      <c r="C321">
        <v>8.61</v>
      </c>
      <c r="L321">
        <v>1.595</v>
      </c>
      <c r="M321">
        <v>10.130000000000001</v>
      </c>
    </row>
    <row r="322" spans="1:13" x14ac:dyDescent="0.25">
      <c r="A322">
        <v>1.6</v>
      </c>
      <c r="B322">
        <v>10.16</v>
      </c>
      <c r="C322">
        <v>8.64</v>
      </c>
      <c r="D322" s="12">
        <v>-0.16000000000000014</v>
      </c>
      <c r="L322">
        <v>1.6</v>
      </c>
      <c r="M322">
        <v>10.16</v>
      </c>
    </row>
    <row r="323" spans="1:13" x14ac:dyDescent="0.25">
      <c r="A323">
        <v>1.605</v>
      </c>
      <c r="B323">
        <v>10.19</v>
      </c>
      <c r="C323">
        <v>8.67</v>
      </c>
      <c r="L323">
        <v>1.605</v>
      </c>
      <c r="M323">
        <v>10.19</v>
      </c>
    </row>
    <row r="324" spans="1:13" x14ac:dyDescent="0.25">
      <c r="A324">
        <v>1.61</v>
      </c>
      <c r="B324">
        <v>10.23</v>
      </c>
      <c r="C324">
        <v>8.69</v>
      </c>
      <c r="L324">
        <v>1.61</v>
      </c>
      <c r="M324">
        <v>10.23</v>
      </c>
    </row>
    <row r="325" spans="1:13" x14ac:dyDescent="0.25">
      <c r="A325">
        <v>1.615</v>
      </c>
      <c r="B325">
        <v>10.26</v>
      </c>
      <c r="C325">
        <v>8.7200000000000006</v>
      </c>
      <c r="L325">
        <v>1.615</v>
      </c>
      <c r="M325">
        <v>10.26</v>
      </c>
    </row>
    <row r="326" spans="1:13" x14ac:dyDescent="0.25">
      <c r="A326">
        <v>1.62</v>
      </c>
      <c r="B326">
        <v>10.3</v>
      </c>
      <c r="C326">
        <v>8.75</v>
      </c>
      <c r="L326">
        <v>1.62</v>
      </c>
      <c r="M326">
        <v>10.3</v>
      </c>
    </row>
    <row r="327" spans="1:13" x14ac:dyDescent="0.25">
      <c r="A327">
        <v>1.625</v>
      </c>
      <c r="B327">
        <v>10.33</v>
      </c>
      <c r="C327">
        <v>8.7799999999999994</v>
      </c>
      <c r="L327">
        <v>1.625</v>
      </c>
      <c r="M327">
        <v>10.33</v>
      </c>
    </row>
    <row r="328" spans="1:13" x14ac:dyDescent="0.25">
      <c r="A328">
        <v>1.63</v>
      </c>
      <c r="B328">
        <v>10.36</v>
      </c>
      <c r="C328">
        <v>8.81</v>
      </c>
      <c r="L328">
        <v>1.63</v>
      </c>
      <c r="M328">
        <v>10.36</v>
      </c>
    </row>
    <row r="329" spans="1:13" x14ac:dyDescent="0.25">
      <c r="A329">
        <v>1.635</v>
      </c>
      <c r="B329">
        <v>10.4</v>
      </c>
      <c r="C329">
        <v>8.84</v>
      </c>
      <c r="L329">
        <v>1.635</v>
      </c>
      <c r="M329">
        <v>10.4</v>
      </c>
    </row>
    <row r="330" spans="1:13" x14ac:dyDescent="0.25">
      <c r="A330">
        <v>1.64</v>
      </c>
      <c r="B330">
        <v>10.43</v>
      </c>
      <c r="C330">
        <v>8.8699999999999992</v>
      </c>
      <c r="L330">
        <v>1.64</v>
      </c>
      <c r="M330">
        <v>10.43</v>
      </c>
    </row>
    <row r="331" spans="1:13" x14ac:dyDescent="0.25">
      <c r="A331">
        <v>1.645</v>
      </c>
      <c r="B331">
        <v>10.46</v>
      </c>
      <c r="C331">
        <v>8.89</v>
      </c>
      <c r="L331">
        <v>1.645</v>
      </c>
      <c r="M331">
        <v>10.46</v>
      </c>
    </row>
    <row r="332" spans="1:13" x14ac:dyDescent="0.25">
      <c r="A332">
        <v>1.65</v>
      </c>
      <c r="B332">
        <v>10.5</v>
      </c>
      <c r="C332">
        <v>8.92</v>
      </c>
      <c r="L332">
        <v>1.65</v>
      </c>
      <c r="M332">
        <v>10.5</v>
      </c>
    </row>
    <row r="333" spans="1:13" x14ac:dyDescent="0.25">
      <c r="A333">
        <v>1.655</v>
      </c>
      <c r="B333">
        <v>10.53</v>
      </c>
      <c r="C333">
        <v>8.9499999999999993</v>
      </c>
      <c r="L333">
        <v>1.655</v>
      </c>
      <c r="M333">
        <v>10.53</v>
      </c>
    </row>
    <row r="334" spans="1:13" x14ac:dyDescent="0.25">
      <c r="A334">
        <v>1.66</v>
      </c>
      <c r="B334">
        <v>10.57</v>
      </c>
      <c r="C334">
        <v>8.98</v>
      </c>
      <c r="L334">
        <v>1.66</v>
      </c>
      <c r="M334">
        <v>10.57</v>
      </c>
    </row>
    <row r="335" spans="1:13" x14ac:dyDescent="0.25">
      <c r="A335">
        <v>1.665</v>
      </c>
      <c r="B335">
        <v>10.6</v>
      </c>
      <c r="C335">
        <v>9.01</v>
      </c>
      <c r="L335">
        <v>1.665</v>
      </c>
      <c r="M335">
        <v>10.6</v>
      </c>
    </row>
    <row r="336" spans="1:13" x14ac:dyDescent="0.25">
      <c r="A336">
        <v>1.67</v>
      </c>
      <c r="B336">
        <v>10.63</v>
      </c>
      <c r="C336">
        <v>9.0399999999999991</v>
      </c>
      <c r="L336">
        <v>1.67</v>
      </c>
      <c r="M336">
        <v>10.63</v>
      </c>
    </row>
    <row r="337" spans="1:13" x14ac:dyDescent="0.25">
      <c r="A337">
        <v>1.675</v>
      </c>
      <c r="B337">
        <v>10.67</v>
      </c>
      <c r="C337">
        <v>9.07</v>
      </c>
      <c r="L337">
        <v>1.675</v>
      </c>
      <c r="M337">
        <v>10.67</v>
      </c>
    </row>
    <row r="338" spans="1:13" x14ac:dyDescent="0.25">
      <c r="A338">
        <v>1.68</v>
      </c>
      <c r="B338">
        <v>10.7</v>
      </c>
      <c r="C338">
        <v>9.1</v>
      </c>
      <c r="L338">
        <v>1.68</v>
      </c>
      <c r="M338">
        <v>10.7</v>
      </c>
    </row>
    <row r="339" spans="1:13" x14ac:dyDescent="0.25">
      <c r="A339">
        <v>1.6850000000000001</v>
      </c>
      <c r="B339">
        <v>10.73</v>
      </c>
      <c r="C339">
        <v>9.1199999999999992</v>
      </c>
      <c r="L339">
        <v>1.6850000000000001</v>
      </c>
      <c r="M339">
        <v>10.73</v>
      </c>
    </row>
    <row r="340" spans="1:13" x14ac:dyDescent="0.25">
      <c r="A340">
        <v>1.69</v>
      </c>
      <c r="B340">
        <v>10.77</v>
      </c>
      <c r="C340">
        <v>9.15</v>
      </c>
      <c r="L340">
        <v>1.69</v>
      </c>
      <c r="M340">
        <v>10.77</v>
      </c>
    </row>
    <row r="341" spans="1:13" x14ac:dyDescent="0.25">
      <c r="A341">
        <v>1.6950000000000001</v>
      </c>
      <c r="B341">
        <v>10.8</v>
      </c>
      <c r="C341">
        <v>9.18</v>
      </c>
      <c r="L341">
        <v>1.6950000000000001</v>
      </c>
      <c r="M341">
        <v>10.8</v>
      </c>
    </row>
    <row r="342" spans="1:13" x14ac:dyDescent="0.25">
      <c r="A342">
        <v>1.7</v>
      </c>
      <c r="B342">
        <v>10.84</v>
      </c>
      <c r="C342">
        <v>9.2100000000000009</v>
      </c>
      <c r="D342" s="12">
        <v>0.10999999999999943</v>
      </c>
      <c r="L342">
        <v>1.7</v>
      </c>
      <c r="M342">
        <v>10.84</v>
      </c>
    </row>
    <row r="343" spans="1:13" x14ac:dyDescent="0.25">
      <c r="A343">
        <v>1.7050000000000001</v>
      </c>
      <c r="B343">
        <v>10.87</v>
      </c>
      <c r="C343">
        <v>9.24</v>
      </c>
      <c r="L343">
        <v>1.7050000000000001</v>
      </c>
      <c r="M343">
        <v>10.87</v>
      </c>
    </row>
    <row r="344" spans="1:13" x14ac:dyDescent="0.25">
      <c r="A344">
        <v>1.71</v>
      </c>
      <c r="B344">
        <v>10.9</v>
      </c>
      <c r="C344">
        <v>9.27</v>
      </c>
      <c r="L344">
        <v>1.71</v>
      </c>
      <c r="M344">
        <v>10.9</v>
      </c>
    </row>
    <row r="345" spans="1:13" x14ac:dyDescent="0.25">
      <c r="A345">
        <v>1.7150000000000001</v>
      </c>
      <c r="B345">
        <v>10.94</v>
      </c>
      <c r="C345">
        <v>9.3000000000000007</v>
      </c>
      <c r="L345">
        <v>1.7150000000000001</v>
      </c>
      <c r="M345">
        <v>10.94</v>
      </c>
    </row>
    <row r="346" spans="1:13" x14ac:dyDescent="0.25">
      <c r="A346">
        <v>1.72</v>
      </c>
      <c r="B346">
        <v>10.97</v>
      </c>
      <c r="C346">
        <v>9.33</v>
      </c>
      <c r="L346">
        <v>1.72</v>
      </c>
      <c r="M346">
        <v>10.97</v>
      </c>
    </row>
    <row r="347" spans="1:13" x14ac:dyDescent="0.25">
      <c r="A347">
        <v>1.7250000000000001</v>
      </c>
      <c r="B347">
        <v>11</v>
      </c>
      <c r="C347">
        <v>9.35</v>
      </c>
      <c r="L347">
        <v>1.7250000000000001</v>
      </c>
      <c r="M347">
        <v>11</v>
      </c>
    </row>
    <row r="348" spans="1:13" x14ac:dyDescent="0.25">
      <c r="A348">
        <v>1.73</v>
      </c>
      <c r="B348">
        <v>11.04</v>
      </c>
      <c r="C348">
        <v>9.3800000000000008</v>
      </c>
      <c r="L348">
        <v>1.73</v>
      </c>
      <c r="M348">
        <v>11.04</v>
      </c>
    </row>
    <row r="349" spans="1:13" x14ac:dyDescent="0.25">
      <c r="A349">
        <v>1.7350000000000001</v>
      </c>
      <c r="B349">
        <v>11.07</v>
      </c>
      <c r="C349">
        <v>9.41</v>
      </c>
      <c r="L349">
        <v>1.7350000000000001</v>
      </c>
      <c r="M349">
        <v>11.07</v>
      </c>
    </row>
    <row r="350" spans="1:13" x14ac:dyDescent="0.25">
      <c r="A350">
        <v>1.74</v>
      </c>
      <c r="B350">
        <v>11.11</v>
      </c>
      <c r="C350">
        <v>9.44</v>
      </c>
      <c r="L350">
        <v>1.74</v>
      </c>
      <c r="M350">
        <v>11.11</v>
      </c>
    </row>
    <row r="351" spans="1:13" x14ac:dyDescent="0.25">
      <c r="A351">
        <v>1.7450000000000001</v>
      </c>
      <c r="B351">
        <v>11.14</v>
      </c>
      <c r="C351">
        <v>9.4700000000000006</v>
      </c>
      <c r="L351">
        <v>1.7450000000000001</v>
      </c>
      <c r="M351">
        <v>11.14</v>
      </c>
    </row>
    <row r="352" spans="1:13" x14ac:dyDescent="0.25">
      <c r="A352">
        <v>1.75</v>
      </c>
      <c r="B352">
        <v>11.17</v>
      </c>
      <c r="C352">
        <v>9.5</v>
      </c>
      <c r="L352">
        <v>1.75</v>
      </c>
      <c r="M352">
        <v>11.17</v>
      </c>
    </row>
    <row r="353" spans="1:13" x14ac:dyDescent="0.25">
      <c r="A353">
        <v>1.7549999999999999</v>
      </c>
      <c r="B353">
        <v>11.21</v>
      </c>
      <c r="C353">
        <v>9.5299999999999994</v>
      </c>
      <c r="L353">
        <v>1.7549999999999999</v>
      </c>
      <c r="M353">
        <v>11.21</v>
      </c>
    </row>
    <row r="354" spans="1:13" x14ac:dyDescent="0.25">
      <c r="A354">
        <v>1.76</v>
      </c>
      <c r="B354">
        <v>11.24</v>
      </c>
      <c r="C354">
        <v>9.5500000000000007</v>
      </c>
      <c r="L354">
        <v>1.76</v>
      </c>
      <c r="M354">
        <v>11.24</v>
      </c>
    </row>
    <row r="355" spans="1:13" x14ac:dyDescent="0.25">
      <c r="A355">
        <v>1.7649999999999999</v>
      </c>
      <c r="B355">
        <v>11.27</v>
      </c>
      <c r="C355">
        <v>9.58</v>
      </c>
      <c r="L355">
        <v>1.7649999999999999</v>
      </c>
      <c r="M355">
        <v>11.27</v>
      </c>
    </row>
    <row r="356" spans="1:13" x14ac:dyDescent="0.25">
      <c r="A356">
        <v>1.77</v>
      </c>
      <c r="B356">
        <v>11.31</v>
      </c>
      <c r="C356">
        <v>9.61</v>
      </c>
      <c r="L356">
        <v>1.77</v>
      </c>
      <c r="M356">
        <v>11.31</v>
      </c>
    </row>
    <row r="357" spans="1:13" x14ac:dyDescent="0.25">
      <c r="A357">
        <v>1.7749999999999999</v>
      </c>
      <c r="B357">
        <v>11.34</v>
      </c>
      <c r="C357">
        <v>9.64</v>
      </c>
      <c r="L357">
        <v>1.7749999999999999</v>
      </c>
      <c r="M357">
        <v>11.34</v>
      </c>
    </row>
    <row r="358" spans="1:13" x14ac:dyDescent="0.25">
      <c r="A358">
        <v>1.78</v>
      </c>
      <c r="B358">
        <v>11.38</v>
      </c>
      <c r="C358">
        <v>9.67</v>
      </c>
      <c r="L358">
        <v>1.78</v>
      </c>
      <c r="M358">
        <v>11.38</v>
      </c>
    </row>
    <row r="359" spans="1:13" x14ac:dyDescent="0.25">
      <c r="A359">
        <v>1.7849999999999999</v>
      </c>
      <c r="B359">
        <v>11.41</v>
      </c>
      <c r="C359">
        <v>9.6999999999999993</v>
      </c>
      <c r="L359">
        <v>1.7849999999999999</v>
      </c>
      <c r="M359">
        <v>11.41</v>
      </c>
    </row>
    <row r="360" spans="1:13" x14ac:dyDescent="0.25">
      <c r="A360">
        <v>1.79</v>
      </c>
      <c r="B360">
        <v>11.44</v>
      </c>
      <c r="C360">
        <v>9.73</v>
      </c>
      <c r="L360">
        <v>1.79</v>
      </c>
      <c r="M360">
        <v>11.44</v>
      </c>
    </row>
    <row r="361" spans="1:13" x14ac:dyDescent="0.25">
      <c r="A361">
        <v>1.7949999999999999</v>
      </c>
      <c r="B361">
        <v>11.48</v>
      </c>
      <c r="C361">
        <v>9.76</v>
      </c>
      <c r="L361">
        <v>1.7949999999999999</v>
      </c>
      <c r="M361">
        <v>11.48</v>
      </c>
    </row>
    <row r="362" spans="1:13" x14ac:dyDescent="0.25">
      <c r="A362">
        <v>1.8</v>
      </c>
      <c r="B362">
        <v>11.51</v>
      </c>
      <c r="C362">
        <v>9.7799999999999994</v>
      </c>
      <c r="D362" s="12">
        <v>0.29000000000000092</v>
      </c>
      <c r="L362">
        <v>1.8</v>
      </c>
      <c r="M362">
        <v>11.51</v>
      </c>
    </row>
    <row r="363" spans="1:13" x14ac:dyDescent="0.25">
      <c r="A363">
        <v>1.8049999999999999</v>
      </c>
      <c r="B363">
        <v>11.54</v>
      </c>
      <c r="C363">
        <v>9.81</v>
      </c>
      <c r="L363">
        <v>1.8049999999999999</v>
      </c>
      <c r="M363">
        <v>11.54</v>
      </c>
    </row>
    <row r="364" spans="1:13" x14ac:dyDescent="0.25">
      <c r="A364">
        <v>1.81</v>
      </c>
      <c r="B364">
        <v>11.58</v>
      </c>
      <c r="C364">
        <v>9.84</v>
      </c>
      <c r="L364">
        <v>1.81</v>
      </c>
      <c r="M364">
        <v>11.58</v>
      </c>
    </row>
    <row r="365" spans="1:13" x14ac:dyDescent="0.25">
      <c r="A365">
        <v>1.8149999999999999</v>
      </c>
      <c r="B365">
        <v>11.61</v>
      </c>
      <c r="C365">
        <v>9.8699999999999992</v>
      </c>
      <c r="L365">
        <v>1.8149999999999999</v>
      </c>
      <c r="M365">
        <v>11.61</v>
      </c>
    </row>
    <row r="366" spans="1:13" x14ac:dyDescent="0.25">
      <c r="A366">
        <v>1.82</v>
      </c>
      <c r="B366">
        <v>11.65</v>
      </c>
      <c r="C366">
        <v>9.9</v>
      </c>
      <c r="L366">
        <v>1.82</v>
      </c>
      <c r="M366">
        <v>11.65</v>
      </c>
    </row>
    <row r="367" spans="1:13" x14ac:dyDescent="0.25">
      <c r="A367">
        <v>1.825</v>
      </c>
      <c r="B367">
        <v>11.68</v>
      </c>
      <c r="C367">
        <v>9.93</v>
      </c>
      <c r="L367">
        <v>1.825</v>
      </c>
      <c r="M367">
        <v>11.68</v>
      </c>
    </row>
    <row r="368" spans="1:13" x14ac:dyDescent="0.25">
      <c r="A368">
        <v>1.83</v>
      </c>
      <c r="B368">
        <v>11.71</v>
      </c>
      <c r="C368">
        <v>9.9600000000000009</v>
      </c>
      <c r="L368">
        <v>1.83</v>
      </c>
      <c r="M368">
        <v>11.71</v>
      </c>
    </row>
    <row r="369" spans="1:13" x14ac:dyDescent="0.25">
      <c r="A369">
        <v>1.835</v>
      </c>
      <c r="B369">
        <v>11.75</v>
      </c>
      <c r="C369">
        <v>9.98</v>
      </c>
      <c r="L369">
        <v>1.835</v>
      </c>
      <c r="M369">
        <v>11.75</v>
      </c>
    </row>
    <row r="370" spans="1:13" x14ac:dyDescent="0.25">
      <c r="A370">
        <v>1.84</v>
      </c>
      <c r="B370">
        <v>11.78</v>
      </c>
      <c r="C370">
        <v>10.01</v>
      </c>
      <c r="L370">
        <v>1.84</v>
      </c>
      <c r="M370">
        <v>11.78</v>
      </c>
    </row>
    <row r="371" spans="1:13" x14ac:dyDescent="0.25">
      <c r="A371">
        <v>1.845</v>
      </c>
      <c r="B371">
        <v>11.81</v>
      </c>
      <c r="C371">
        <v>10.039999999999999</v>
      </c>
      <c r="L371">
        <v>1.845</v>
      </c>
      <c r="M371">
        <v>11.81</v>
      </c>
    </row>
    <row r="372" spans="1:13" x14ac:dyDescent="0.25">
      <c r="A372">
        <v>1.85</v>
      </c>
      <c r="B372">
        <v>11.85</v>
      </c>
      <c r="C372">
        <v>10.07</v>
      </c>
      <c r="L372">
        <v>1.85</v>
      </c>
      <c r="M372">
        <v>11.85</v>
      </c>
    </row>
    <row r="373" spans="1:13" x14ac:dyDescent="0.25">
      <c r="A373">
        <v>1.855</v>
      </c>
      <c r="B373">
        <v>11.88</v>
      </c>
      <c r="C373">
        <v>10.1</v>
      </c>
      <c r="L373">
        <v>1.855</v>
      </c>
      <c r="M373">
        <v>11.88</v>
      </c>
    </row>
    <row r="374" spans="1:13" x14ac:dyDescent="0.25">
      <c r="A374">
        <v>1.86</v>
      </c>
      <c r="B374">
        <v>11.92</v>
      </c>
      <c r="C374">
        <v>10.130000000000001</v>
      </c>
      <c r="L374">
        <v>1.86</v>
      </c>
      <c r="M374">
        <v>11.92</v>
      </c>
    </row>
    <row r="375" spans="1:13" x14ac:dyDescent="0.25">
      <c r="A375">
        <v>1.865</v>
      </c>
      <c r="B375">
        <v>11.95</v>
      </c>
      <c r="C375">
        <v>10.16</v>
      </c>
      <c r="L375">
        <v>1.865</v>
      </c>
      <c r="M375">
        <v>11.95</v>
      </c>
    </row>
    <row r="376" spans="1:13" x14ac:dyDescent="0.25">
      <c r="A376">
        <v>1.87</v>
      </c>
      <c r="B376">
        <v>11.98</v>
      </c>
      <c r="C376">
        <v>10.19</v>
      </c>
      <c r="L376">
        <v>1.87</v>
      </c>
      <c r="M376">
        <v>11.98</v>
      </c>
    </row>
    <row r="377" spans="1:13" x14ac:dyDescent="0.25">
      <c r="A377">
        <v>1.875</v>
      </c>
      <c r="B377">
        <v>12.02</v>
      </c>
      <c r="C377">
        <v>10.210000000000001</v>
      </c>
      <c r="L377">
        <v>1.875</v>
      </c>
      <c r="M377">
        <v>12.02</v>
      </c>
    </row>
    <row r="378" spans="1:13" x14ac:dyDescent="0.25">
      <c r="A378">
        <v>1.88</v>
      </c>
      <c r="B378">
        <v>12.05</v>
      </c>
      <c r="C378">
        <v>10.24</v>
      </c>
      <c r="L378">
        <v>1.88</v>
      </c>
      <c r="M378">
        <v>12.05</v>
      </c>
    </row>
    <row r="379" spans="1:13" x14ac:dyDescent="0.25">
      <c r="A379">
        <v>1.885</v>
      </c>
      <c r="B379">
        <v>12.08</v>
      </c>
      <c r="C379">
        <v>10.27</v>
      </c>
      <c r="L379">
        <v>1.885</v>
      </c>
      <c r="M379">
        <v>12.08</v>
      </c>
    </row>
    <row r="380" spans="1:13" x14ac:dyDescent="0.25">
      <c r="A380">
        <v>1.89</v>
      </c>
      <c r="B380">
        <v>12.12</v>
      </c>
      <c r="C380">
        <v>10.3</v>
      </c>
      <c r="L380">
        <v>1.89</v>
      </c>
      <c r="M380">
        <v>12.12</v>
      </c>
    </row>
    <row r="381" spans="1:13" x14ac:dyDescent="0.25">
      <c r="A381">
        <v>1.895</v>
      </c>
      <c r="B381">
        <v>12.15</v>
      </c>
      <c r="C381">
        <v>10.33</v>
      </c>
      <c r="L381">
        <v>1.895</v>
      </c>
      <c r="M381">
        <v>12.15</v>
      </c>
    </row>
    <row r="382" spans="1:13" x14ac:dyDescent="0.25">
      <c r="A382">
        <v>1.9</v>
      </c>
      <c r="B382">
        <v>12.19</v>
      </c>
      <c r="C382">
        <v>10.36</v>
      </c>
      <c r="D382" s="12">
        <v>-0.1899999999999995</v>
      </c>
      <c r="L382">
        <v>1.9</v>
      </c>
      <c r="M382">
        <v>12.19</v>
      </c>
    </row>
    <row r="383" spans="1:13" x14ac:dyDescent="0.25">
      <c r="A383">
        <v>1.905</v>
      </c>
      <c r="B383">
        <v>12.22</v>
      </c>
      <c r="C383">
        <v>10.39</v>
      </c>
      <c r="L383">
        <v>1.905</v>
      </c>
      <c r="M383">
        <v>12.22</v>
      </c>
    </row>
    <row r="384" spans="1:13" x14ac:dyDescent="0.25">
      <c r="A384">
        <v>1.91</v>
      </c>
      <c r="B384">
        <v>12.25</v>
      </c>
      <c r="C384">
        <v>10.42</v>
      </c>
      <c r="L384">
        <v>1.91</v>
      </c>
      <c r="M384">
        <v>12.25</v>
      </c>
    </row>
    <row r="385" spans="1:13" x14ac:dyDescent="0.25">
      <c r="A385">
        <v>1.915</v>
      </c>
      <c r="B385">
        <v>12.29</v>
      </c>
      <c r="C385">
        <v>10.44</v>
      </c>
      <c r="L385">
        <v>1.915</v>
      </c>
      <c r="M385">
        <v>12.29</v>
      </c>
    </row>
    <row r="386" spans="1:13" x14ac:dyDescent="0.25">
      <c r="A386">
        <v>1.92</v>
      </c>
      <c r="B386">
        <v>12.32</v>
      </c>
      <c r="C386">
        <v>10.47</v>
      </c>
      <c r="L386">
        <v>1.92</v>
      </c>
      <c r="M386">
        <v>12.32</v>
      </c>
    </row>
    <row r="387" spans="1:13" x14ac:dyDescent="0.25">
      <c r="A387">
        <v>1.925</v>
      </c>
      <c r="B387">
        <v>12.35</v>
      </c>
      <c r="C387">
        <v>10.5</v>
      </c>
      <c r="L387">
        <v>1.925</v>
      </c>
      <c r="M387">
        <v>12.35</v>
      </c>
    </row>
    <row r="388" spans="1:13" x14ac:dyDescent="0.25">
      <c r="A388">
        <v>1.93</v>
      </c>
      <c r="B388">
        <v>12.39</v>
      </c>
      <c r="C388">
        <v>10.53</v>
      </c>
      <c r="L388">
        <v>1.93</v>
      </c>
      <c r="M388">
        <v>12.39</v>
      </c>
    </row>
    <row r="389" spans="1:13" x14ac:dyDescent="0.25">
      <c r="A389">
        <v>1.9350000000000001</v>
      </c>
      <c r="B389">
        <v>12.42</v>
      </c>
      <c r="C389">
        <v>10.56</v>
      </c>
      <c r="L389">
        <v>1.9350000000000001</v>
      </c>
      <c r="M389">
        <v>12.42</v>
      </c>
    </row>
    <row r="390" spans="1:13" x14ac:dyDescent="0.25">
      <c r="A390">
        <v>1.94</v>
      </c>
      <c r="B390">
        <v>12.46</v>
      </c>
      <c r="C390">
        <v>10.59</v>
      </c>
      <c r="L390">
        <v>1.94</v>
      </c>
      <c r="M390">
        <v>12.46</v>
      </c>
    </row>
    <row r="391" spans="1:13" x14ac:dyDescent="0.25">
      <c r="A391">
        <v>1.9450000000000001</v>
      </c>
      <c r="B391">
        <v>12.49</v>
      </c>
      <c r="C391">
        <v>10.62</v>
      </c>
      <c r="L391">
        <v>1.9450000000000001</v>
      </c>
      <c r="M391">
        <v>12.49</v>
      </c>
    </row>
    <row r="392" spans="1:13" x14ac:dyDescent="0.25">
      <c r="A392">
        <v>1.95</v>
      </c>
      <c r="B392">
        <v>12.52</v>
      </c>
      <c r="C392">
        <v>10.64</v>
      </c>
      <c r="L392">
        <v>1.95</v>
      </c>
      <c r="M392">
        <v>12.52</v>
      </c>
    </row>
    <row r="393" spans="1:13" x14ac:dyDescent="0.25">
      <c r="A393">
        <v>1.9550000000000001</v>
      </c>
      <c r="B393">
        <v>12.56</v>
      </c>
      <c r="C393">
        <v>10.67</v>
      </c>
      <c r="L393">
        <v>1.9550000000000001</v>
      </c>
      <c r="M393">
        <v>12.56</v>
      </c>
    </row>
    <row r="394" spans="1:13" x14ac:dyDescent="0.25">
      <c r="A394">
        <v>1.96</v>
      </c>
      <c r="B394">
        <v>12.59</v>
      </c>
      <c r="C394">
        <v>10.7</v>
      </c>
      <c r="L394">
        <v>1.96</v>
      </c>
      <c r="M394">
        <v>12.59</v>
      </c>
    </row>
    <row r="395" spans="1:13" x14ac:dyDescent="0.25">
      <c r="A395">
        <v>1.9650000000000001</v>
      </c>
      <c r="B395">
        <v>12.62</v>
      </c>
      <c r="C395">
        <v>10.73</v>
      </c>
      <c r="L395">
        <v>1.9650000000000001</v>
      </c>
      <c r="M395">
        <v>12.62</v>
      </c>
    </row>
    <row r="396" spans="1:13" x14ac:dyDescent="0.25">
      <c r="A396">
        <v>1.97</v>
      </c>
      <c r="B396">
        <v>12.66</v>
      </c>
      <c r="C396">
        <v>10.76</v>
      </c>
      <c r="L396">
        <v>1.97</v>
      </c>
      <c r="M396">
        <v>12.66</v>
      </c>
    </row>
    <row r="397" spans="1:13" x14ac:dyDescent="0.25">
      <c r="A397">
        <v>1.9750000000000001</v>
      </c>
      <c r="B397">
        <v>12.69</v>
      </c>
      <c r="C397">
        <v>10.79</v>
      </c>
      <c r="L397">
        <v>1.9750000000000001</v>
      </c>
      <c r="M397">
        <v>12.69</v>
      </c>
    </row>
    <row r="398" spans="1:13" x14ac:dyDescent="0.25">
      <c r="A398">
        <v>1.98</v>
      </c>
      <c r="B398">
        <v>12.73</v>
      </c>
      <c r="C398">
        <v>10.82</v>
      </c>
      <c r="L398">
        <v>1.98</v>
      </c>
      <c r="M398">
        <v>12.73</v>
      </c>
    </row>
    <row r="399" spans="1:13" x14ac:dyDescent="0.25">
      <c r="A399">
        <v>1.9850000000000001</v>
      </c>
      <c r="B399">
        <v>12.76</v>
      </c>
      <c r="C399">
        <v>10.85</v>
      </c>
      <c r="L399">
        <v>1.9850000000000001</v>
      </c>
      <c r="M399">
        <v>12.76</v>
      </c>
    </row>
    <row r="400" spans="1:13" x14ac:dyDescent="0.25">
      <c r="A400">
        <v>1.99</v>
      </c>
      <c r="B400">
        <v>12.79</v>
      </c>
      <c r="C400">
        <v>10.87</v>
      </c>
      <c r="L400">
        <v>1.99</v>
      </c>
      <c r="M400">
        <v>12.79</v>
      </c>
    </row>
    <row r="401" spans="1:13" x14ac:dyDescent="0.25">
      <c r="A401">
        <v>1.9950000000000001</v>
      </c>
      <c r="B401">
        <v>12.83</v>
      </c>
      <c r="C401">
        <v>10.9</v>
      </c>
      <c r="L401">
        <v>1.9950000000000001</v>
      </c>
      <c r="M401">
        <v>12.83</v>
      </c>
    </row>
    <row r="402" spans="1:13" x14ac:dyDescent="0.25">
      <c r="A402">
        <v>2</v>
      </c>
      <c r="B402">
        <v>12.86</v>
      </c>
      <c r="C402">
        <v>10.93</v>
      </c>
      <c r="D402" s="12">
        <v>-0.35999999999999943</v>
      </c>
      <c r="L402">
        <v>2</v>
      </c>
      <c r="M402">
        <v>12.86</v>
      </c>
    </row>
    <row r="403" spans="1:13" x14ac:dyDescent="0.25">
      <c r="A403">
        <v>2.0049999999999999</v>
      </c>
      <c r="B403">
        <v>12.89</v>
      </c>
      <c r="C403">
        <v>10.96</v>
      </c>
      <c r="L403">
        <v>2.0049999999999999</v>
      </c>
      <c r="M403">
        <v>12.89</v>
      </c>
    </row>
    <row r="404" spans="1:13" x14ac:dyDescent="0.25">
      <c r="A404">
        <v>2.0099999999999998</v>
      </c>
      <c r="B404">
        <v>12.93</v>
      </c>
      <c r="C404">
        <v>10.99</v>
      </c>
      <c r="L404">
        <v>2.0099999999999998</v>
      </c>
      <c r="M404">
        <v>12.93</v>
      </c>
    </row>
    <row r="405" spans="1:13" x14ac:dyDescent="0.25">
      <c r="A405">
        <v>2.0150000000000001</v>
      </c>
      <c r="B405">
        <v>12.96</v>
      </c>
      <c r="C405">
        <v>11.02</v>
      </c>
      <c r="L405">
        <v>2.0150000000000001</v>
      </c>
      <c r="M405">
        <v>12.96</v>
      </c>
    </row>
    <row r="406" spans="1:13" x14ac:dyDescent="0.25">
      <c r="A406">
        <v>2.02</v>
      </c>
      <c r="B406">
        <v>13</v>
      </c>
      <c r="C406">
        <v>11.05</v>
      </c>
      <c r="L406">
        <v>2.02</v>
      </c>
      <c r="M406">
        <v>13</v>
      </c>
    </row>
    <row r="407" spans="1:13" x14ac:dyDescent="0.25">
      <c r="A407">
        <v>2.0249999999999999</v>
      </c>
      <c r="B407">
        <v>13.03</v>
      </c>
      <c r="C407">
        <v>11.07</v>
      </c>
      <c r="L407">
        <v>2.0249999999999999</v>
      </c>
      <c r="M407">
        <v>13.03</v>
      </c>
    </row>
    <row r="408" spans="1:13" x14ac:dyDescent="0.25">
      <c r="A408">
        <v>2.0299999999999998</v>
      </c>
      <c r="B408">
        <v>13.06</v>
      </c>
      <c r="C408">
        <v>11.1</v>
      </c>
      <c r="L408">
        <v>2.0299999999999998</v>
      </c>
      <c r="M408">
        <v>13.06</v>
      </c>
    </row>
    <row r="409" spans="1:13" x14ac:dyDescent="0.25">
      <c r="A409">
        <v>2.0299999999999998</v>
      </c>
      <c r="B409">
        <v>13.06</v>
      </c>
      <c r="C409">
        <v>11.1</v>
      </c>
      <c r="D409" s="12">
        <v>-6.0000000000000497E-2</v>
      </c>
      <c r="L409">
        <v>2.0299999999999998</v>
      </c>
      <c r="M409">
        <v>13.06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D511-769B-4854-8392-44B0083631CF}">
  <dimension ref="A2:AI411"/>
  <sheetViews>
    <sheetView showGridLines="0" tabSelected="1" topLeftCell="B1" workbookViewId="0">
      <selection activeCell="O26" sqref="O26"/>
    </sheetView>
  </sheetViews>
  <sheetFormatPr defaultRowHeight="15" x14ac:dyDescent="0.25"/>
  <cols>
    <col min="1" max="1" width="8.42578125" bestFit="1" customWidth="1"/>
    <col min="2" max="2" width="11.7109375" bestFit="1" customWidth="1"/>
    <col min="4" max="4" width="20.85546875" customWidth="1"/>
    <col min="5" max="5" width="0.85546875" style="30" customWidth="1"/>
    <col min="6" max="6" width="16.5703125" bestFit="1" customWidth="1"/>
    <col min="9" max="9" width="12.28515625" customWidth="1"/>
    <col min="10" max="10" width="14.140625" customWidth="1"/>
    <col min="11" max="11" width="23.85546875" customWidth="1"/>
    <col min="12" max="12" width="13.5703125" customWidth="1"/>
    <col min="13" max="13" width="17.5703125" customWidth="1"/>
    <col min="15" max="15" width="98.140625" bestFit="1" customWidth="1"/>
  </cols>
  <sheetData>
    <row r="2" spans="1:35" s="16" customFormat="1" ht="46.5" customHeight="1" x14ac:dyDescent="0.25">
      <c r="A2" s="35" t="s">
        <v>60</v>
      </c>
      <c r="B2" s="35"/>
      <c r="C2" s="35"/>
      <c r="E2" s="28"/>
      <c r="H2" s="35" t="s">
        <v>61</v>
      </c>
      <c r="I2" s="35"/>
      <c r="L2" s="36" t="s">
        <v>62</v>
      </c>
      <c r="M2" s="36"/>
    </row>
    <row r="3" spans="1:35" s="18" customFormat="1" ht="45" x14ac:dyDescent="0.25">
      <c r="A3" s="20" t="s">
        <v>6</v>
      </c>
      <c r="B3" s="20" t="s">
        <v>12</v>
      </c>
      <c r="C3" s="20" t="s">
        <v>28</v>
      </c>
      <c r="D3" s="17" t="s">
        <v>45</v>
      </c>
      <c r="E3" s="29"/>
      <c r="F3" s="20" t="s">
        <v>64</v>
      </c>
      <c r="H3" s="23" t="s">
        <v>6</v>
      </c>
      <c r="I3" s="17" t="s">
        <v>63</v>
      </c>
      <c r="J3" s="17" t="s">
        <v>51</v>
      </c>
      <c r="L3" s="20" t="s">
        <v>6</v>
      </c>
      <c r="M3" s="20" t="s">
        <v>65</v>
      </c>
      <c r="AF3" s="19" t="s">
        <v>6</v>
      </c>
      <c r="AG3" s="19" t="s">
        <v>12</v>
      </c>
      <c r="AH3" s="18" t="s">
        <v>12</v>
      </c>
      <c r="AI3" s="18" t="s">
        <v>45</v>
      </c>
    </row>
    <row r="4" spans="1:35" x14ac:dyDescent="0.25">
      <c r="A4" s="3">
        <v>0</v>
      </c>
      <c r="B4" s="3">
        <v>0.03</v>
      </c>
      <c r="C4" s="3">
        <v>0.02</v>
      </c>
      <c r="D4" s="21">
        <f>M4-B4</f>
        <v>1.0000000000000002E-2</v>
      </c>
      <c r="F4" s="3">
        <f>B4+D4</f>
        <v>0.04</v>
      </c>
      <c r="H4" s="24">
        <v>0</v>
      </c>
      <c r="I4" s="24">
        <v>0.04</v>
      </c>
      <c r="J4" s="21">
        <v>0.01</v>
      </c>
      <c r="L4" s="24">
        <v>0</v>
      </c>
      <c r="M4" s="26">
        <f>$I$4 + ((L4-$H$4)/$H$5-$H$4) * ($I$5 - $I$4)</f>
        <v>0.04</v>
      </c>
      <c r="O4" t="s">
        <v>53</v>
      </c>
      <c r="AF4">
        <v>0</v>
      </c>
      <c r="AG4">
        <v>0.03</v>
      </c>
      <c r="AH4" s="11">
        <v>0.04</v>
      </c>
      <c r="AI4">
        <f>AH4-AG4</f>
        <v>1.0000000000000002E-2</v>
      </c>
    </row>
    <row r="5" spans="1:35" x14ac:dyDescent="0.25">
      <c r="A5" s="3">
        <v>5.0000000000000001E-3</v>
      </c>
      <c r="B5" s="3">
        <v>0.03</v>
      </c>
      <c r="C5" s="3">
        <v>0.03</v>
      </c>
      <c r="D5" s="22">
        <f>M5-B5</f>
        <v>1.9500000000000003E-2</v>
      </c>
      <c r="F5" s="3">
        <f>B5+D5</f>
        <v>4.9500000000000002E-2</v>
      </c>
      <c r="H5" s="24">
        <v>0.1</v>
      </c>
      <c r="I5" s="24">
        <v>0.23</v>
      </c>
      <c r="J5" s="21">
        <v>-0.03</v>
      </c>
      <c r="L5" s="27">
        <v>5.0000000000000001E-3</v>
      </c>
      <c r="M5" s="26">
        <f t="shared" ref="M5:M24" si="0">$I$4 + ((L5-$H$4)/$H$5-$H$4) * ($I$5 - $I$4)</f>
        <v>4.9500000000000002E-2</v>
      </c>
      <c r="AF5">
        <v>0.1</v>
      </c>
      <c r="AG5">
        <v>0.26</v>
      </c>
      <c r="AH5" s="11">
        <v>0.23</v>
      </c>
      <c r="AI5">
        <f t="shared" ref="AI5:AI25" si="1">AH5-AG5</f>
        <v>-0.03</v>
      </c>
    </row>
    <row r="6" spans="1:35" x14ac:dyDescent="0.25">
      <c r="A6" s="3">
        <v>0.01</v>
      </c>
      <c r="B6" s="3">
        <v>0.04</v>
      </c>
      <c r="C6" s="3">
        <v>0.03</v>
      </c>
      <c r="D6" s="22">
        <f t="shared" ref="D6:D23" si="2">M6-B6</f>
        <v>1.8999999999999996E-2</v>
      </c>
      <c r="F6" s="3">
        <f>B6+D6</f>
        <v>5.8999999999999997E-2</v>
      </c>
      <c r="H6" s="3">
        <v>0.2</v>
      </c>
      <c r="I6" s="25">
        <v>0.85</v>
      </c>
      <c r="J6" s="21">
        <v>0.12</v>
      </c>
      <c r="L6" s="27">
        <v>0.01</v>
      </c>
      <c r="M6" s="26">
        <f t="shared" si="0"/>
        <v>5.8999999999999997E-2</v>
      </c>
      <c r="AF6">
        <v>0.2</v>
      </c>
      <c r="AG6">
        <v>0.73</v>
      </c>
      <c r="AH6" s="11">
        <v>0.85</v>
      </c>
      <c r="AI6">
        <f t="shared" si="1"/>
        <v>0.12</v>
      </c>
    </row>
    <row r="7" spans="1:35" x14ac:dyDescent="0.25">
      <c r="A7" s="3">
        <v>1.4999999999999999E-2</v>
      </c>
      <c r="B7" s="3">
        <v>0.05</v>
      </c>
      <c r="C7" s="3">
        <v>0.04</v>
      </c>
      <c r="D7" s="22">
        <f t="shared" si="2"/>
        <v>1.8500000000000003E-2</v>
      </c>
      <c r="F7" s="3">
        <f t="shared" ref="F7:F24" si="3">B7+D7</f>
        <v>6.8500000000000005E-2</v>
      </c>
      <c r="H7" s="3">
        <v>0.3</v>
      </c>
      <c r="I7" s="25">
        <v>1.1499999999999999</v>
      </c>
      <c r="J7" s="21">
        <v>-0.24</v>
      </c>
      <c r="L7" s="27">
        <v>1.4999999999999999E-2</v>
      </c>
      <c r="M7" s="26">
        <f t="shared" si="0"/>
        <v>6.8500000000000005E-2</v>
      </c>
      <c r="AF7">
        <v>0.3</v>
      </c>
      <c r="AG7">
        <v>1.39</v>
      </c>
      <c r="AH7" s="11">
        <v>1.1499999999999999</v>
      </c>
      <c r="AI7">
        <f t="shared" si="1"/>
        <v>-0.24</v>
      </c>
    </row>
    <row r="8" spans="1:35" x14ac:dyDescent="0.25">
      <c r="A8" s="3">
        <v>0.02</v>
      </c>
      <c r="B8" s="3">
        <v>0.05</v>
      </c>
      <c r="C8" s="3">
        <v>0.05</v>
      </c>
      <c r="D8" s="22">
        <f t="shared" si="2"/>
        <v>2.7999999999999997E-2</v>
      </c>
      <c r="F8" s="3">
        <f t="shared" si="3"/>
        <v>7.8E-2</v>
      </c>
      <c r="H8" s="3">
        <v>0.4</v>
      </c>
      <c r="I8" s="25">
        <v>2</v>
      </c>
      <c r="J8" s="21">
        <v>-6.0000000000000053E-2</v>
      </c>
      <c r="L8" s="27">
        <v>0.02</v>
      </c>
      <c r="M8" s="26">
        <f t="shared" si="0"/>
        <v>7.8E-2</v>
      </c>
      <c r="AF8">
        <v>0.4</v>
      </c>
      <c r="AG8">
        <v>2.06</v>
      </c>
      <c r="AH8" s="11">
        <v>2</v>
      </c>
      <c r="AI8">
        <f t="shared" si="1"/>
        <v>-6.0000000000000053E-2</v>
      </c>
    </row>
    <row r="9" spans="1:35" x14ac:dyDescent="0.25">
      <c r="A9" s="3">
        <v>2.5000000000000001E-2</v>
      </c>
      <c r="B9" s="3">
        <v>0.06</v>
      </c>
      <c r="C9" s="3">
        <v>0.05</v>
      </c>
      <c r="D9" s="22">
        <f t="shared" si="2"/>
        <v>2.7499999999999997E-2</v>
      </c>
      <c r="F9" s="3">
        <f t="shared" si="3"/>
        <v>8.7499999999999994E-2</v>
      </c>
      <c r="H9" s="3">
        <v>0.5</v>
      </c>
      <c r="I9" s="25">
        <v>2.5</v>
      </c>
      <c r="J9" s="21">
        <v>-0.24000000000000021</v>
      </c>
      <c r="L9" s="27">
        <v>2.5000000000000001E-2</v>
      </c>
      <c r="M9" s="26">
        <f t="shared" si="0"/>
        <v>8.7499999999999994E-2</v>
      </c>
      <c r="O9" s="15" t="s">
        <v>54</v>
      </c>
      <c r="AF9">
        <v>0.5</v>
      </c>
      <c r="AG9">
        <v>2.74</v>
      </c>
      <c r="AH9" s="11">
        <v>2.5</v>
      </c>
      <c r="AI9">
        <f t="shared" si="1"/>
        <v>-0.24000000000000021</v>
      </c>
    </row>
    <row r="10" spans="1:35" x14ac:dyDescent="0.25">
      <c r="A10" s="3">
        <v>0.03</v>
      </c>
      <c r="B10" s="3">
        <v>7.0000000000000007E-2</v>
      </c>
      <c r="C10" s="3">
        <v>0.06</v>
      </c>
      <c r="D10" s="22">
        <f t="shared" si="2"/>
        <v>2.6999999999999996E-2</v>
      </c>
      <c r="F10" s="3">
        <f t="shared" si="3"/>
        <v>9.7000000000000003E-2</v>
      </c>
      <c r="H10" s="3">
        <v>0.6</v>
      </c>
      <c r="I10" s="25">
        <v>3.23</v>
      </c>
      <c r="J10" s="21">
        <v>-0.18000000000000016</v>
      </c>
      <c r="L10" s="27">
        <v>0.03</v>
      </c>
      <c r="M10" s="26">
        <f t="shared" si="0"/>
        <v>9.7000000000000003E-2</v>
      </c>
      <c r="O10" t="s">
        <v>49</v>
      </c>
      <c r="AF10">
        <v>0.6</v>
      </c>
      <c r="AG10">
        <v>3.41</v>
      </c>
      <c r="AH10" s="11">
        <v>3.23</v>
      </c>
      <c r="AI10">
        <f t="shared" si="1"/>
        <v>-0.18000000000000016</v>
      </c>
    </row>
    <row r="11" spans="1:35" x14ac:dyDescent="0.25">
      <c r="A11" s="3">
        <v>3.5000000000000003E-2</v>
      </c>
      <c r="B11" s="3">
        <v>0.08</v>
      </c>
      <c r="C11" s="3">
        <v>7.0000000000000007E-2</v>
      </c>
      <c r="D11" s="22">
        <f t="shared" si="2"/>
        <v>2.650000000000001E-2</v>
      </c>
      <c r="F11" s="3">
        <f t="shared" si="3"/>
        <v>0.10650000000000001</v>
      </c>
      <c r="H11" s="3">
        <v>0.7</v>
      </c>
      <c r="I11" s="25">
        <v>4.25</v>
      </c>
      <c r="J11" s="21">
        <v>0.16000000000000014</v>
      </c>
      <c r="L11" s="27">
        <v>3.5000000000000003E-2</v>
      </c>
      <c r="M11" s="26">
        <f t="shared" si="0"/>
        <v>0.10650000000000001</v>
      </c>
      <c r="O11" t="s">
        <v>50</v>
      </c>
      <c r="AF11">
        <v>0.7</v>
      </c>
      <c r="AG11">
        <v>4.09</v>
      </c>
      <c r="AH11" s="11">
        <v>4.25</v>
      </c>
      <c r="AI11">
        <f t="shared" si="1"/>
        <v>0.16000000000000014</v>
      </c>
    </row>
    <row r="12" spans="1:35" x14ac:dyDescent="0.25">
      <c r="A12" s="3">
        <v>0.04</v>
      </c>
      <c r="B12" s="3">
        <v>0.09</v>
      </c>
      <c r="C12" s="3">
        <v>0.08</v>
      </c>
      <c r="D12" s="22">
        <f t="shared" si="2"/>
        <v>2.5999999999999995E-2</v>
      </c>
      <c r="F12" s="3">
        <f t="shared" si="3"/>
        <v>0.11599999999999999</v>
      </c>
      <c r="H12" s="3">
        <v>0.8</v>
      </c>
      <c r="I12" s="25">
        <v>4.9000000000000004</v>
      </c>
      <c r="J12" s="21">
        <v>0.14000000000000101</v>
      </c>
      <c r="L12" s="27">
        <v>0.04</v>
      </c>
      <c r="M12" s="26">
        <f t="shared" si="0"/>
        <v>0.11599999999999999</v>
      </c>
      <c r="AF12">
        <v>0.8</v>
      </c>
      <c r="AG12">
        <v>4.76</v>
      </c>
      <c r="AH12" s="11">
        <v>4.9000000000000004</v>
      </c>
      <c r="AI12">
        <f t="shared" si="1"/>
        <v>0.14000000000000057</v>
      </c>
    </row>
    <row r="13" spans="1:35" x14ac:dyDescent="0.25">
      <c r="A13" s="3">
        <v>4.4999999999999998E-2</v>
      </c>
      <c r="B13" s="3">
        <v>0.1</v>
      </c>
      <c r="C13" s="3">
        <v>0.09</v>
      </c>
      <c r="D13" s="22">
        <f t="shared" si="2"/>
        <v>2.5499999999999995E-2</v>
      </c>
      <c r="F13" s="3">
        <f t="shared" si="3"/>
        <v>0.1255</v>
      </c>
      <c r="H13" s="3">
        <v>0.9</v>
      </c>
      <c r="I13" s="25">
        <v>5.25</v>
      </c>
      <c r="J13" s="21">
        <v>-0.19000000000000039</v>
      </c>
      <c r="L13" s="27">
        <v>4.4999999999999998E-2</v>
      </c>
      <c r="M13" s="26">
        <f t="shared" si="0"/>
        <v>0.1255</v>
      </c>
      <c r="O13" s="15" t="s">
        <v>55</v>
      </c>
      <c r="AF13">
        <v>0.9</v>
      </c>
      <c r="AG13">
        <v>5.44</v>
      </c>
      <c r="AH13" s="11">
        <v>5.25</v>
      </c>
      <c r="AI13">
        <f t="shared" si="1"/>
        <v>-0.19000000000000039</v>
      </c>
    </row>
    <row r="14" spans="1:35" x14ac:dyDescent="0.25">
      <c r="A14" s="3">
        <v>0.05</v>
      </c>
      <c r="B14" s="3">
        <v>0.11</v>
      </c>
      <c r="C14" s="3">
        <v>0.1</v>
      </c>
      <c r="D14" s="22">
        <f t="shared" si="2"/>
        <v>2.5000000000000008E-2</v>
      </c>
      <c r="F14" s="3">
        <f t="shared" si="3"/>
        <v>0.13500000000000001</v>
      </c>
      <c r="H14" s="3">
        <v>1</v>
      </c>
      <c r="I14" s="25">
        <v>6</v>
      </c>
      <c r="J14" s="21">
        <v>-0.11000000000000032</v>
      </c>
      <c r="L14" s="27">
        <v>0.05</v>
      </c>
      <c r="M14" s="26">
        <f t="shared" si="0"/>
        <v>0.13500000000000001</v>
      </c>
      <c r="O14" s="10" t="s">
        <v>47</v>
      </c>
      <c r="AF14">
        <v>1</v>
      </c>
      <c r="AG14">
        <v>6.11</v>
      </c>
      <c r="AH14" s="11">
        <v>6</v>
      </c>
      <c r="AI14">
        <f t="shared" si="1"/>
        <v>-0.11000000000000032</v>
      </c>
    </row>
    <row r="15" spans="1:35" x14ac:dyDescent="0.25">
      <c r="A15" s="3">
        <v>5.5E-2</v>
      </c>
      <c r="B15" s="3">
        <v>0.12</v>
      </c>
      <c r="C15" s="3">
        <v>0.11</v>
      </c>
      <c r="D15" s="22">
        <f t="shared" si="2"/>
        <v>2.4499999999999994E-2</v>
      </c>
      <c r="F15" s="3">
        <f t="shared" si="3"/>
        <v>0.14449999999999999</v>
      </c>
      <c r="H15" s="3">
        <v>1.1000000000000001</v>
      </c>
      <c r="I15" s="25">
        <v>6.5</v>
      </c>
      <c r="J15" s="21">
        <v>-0.28999999999999998</v>
      </c>
      <c r="L15" s="27">
        <v>5.5E-2</v>
      </c>
      <c r="M15" s="26">
        <f t="shared" si="0"/>
        <v>0.14449999999999999</v>
      </c>
      <c r="O15" s="10" t="s">
        <v>48</v>
      </c>
      <c r="AF15">
        <v>1.1000000000000001</v>
      </c>
      <c r="AG15">
        <v>6.79</v>
      </c>
      <c r="AH15" s="11">
        <v>6.5</v>
      </c>
      <c r="AI15">
        <f t="shared" si="1"/>
        <v>-0.29000000000000004</v>
      </c>
    </row>
    <row r="16" spans="1:35" x14ac:dyDescent="0.25">
      <c r="A16" s="3">
        <v>0.06</v>
      </c>
      <c r="B16" s="3">
        <v>0.14000000000000001</v>
      </c>
      <c r="C16" s="3">
        <v>0.12</v>
      </c>
      <c r="D16" s="22">
        <f t="shared" si="2"/>
        <v>1.3999999999999985E-2</v>
      </c>
      <c r="F16" s="3">
        <f t="shared" si="3"/>
        <v>0.154</v>
      </c>
      <c r="H16" s="3">
        <v>1.2</v>
      </c>
      <c r="I16" s="25">
        <v>7.35</v>
      </c>
      <c r="J16" s="21">
        <v>-0.11000000000000032</v>
      </c>
      <c r="L16" s="27">
        <v>0.06</v>
      </c>
      <c r="M16" s="26">
        <f t="shared" si="0"/>
        <v>0.154</v>
      </c>
      <c r="AF16">
        <v>1.2</v>
      </c>
      <c r="AG16">
        <v>7.46</v>
      </c>
      <c r="AH16" s="11">
        <v>7.35</v>
      </c>
      <c r="AI16">
        <f t="shared" si="1"/>
        <v>-0.11000000000000032</v>
      </c>
    </row>
    <row r="17" spans="1:35" x14ac:dyDescent="0.25">
      <c r="A17" s="3">
        <v>6.5000000000000002E-2</v>
      </c>
      <c r="B17" s="3">
        <v>0.15</v>
      </c>
      <c r="C17" s="3">
        <v>0.13</v>
      </c>
      <c r="D17" s="22">
        <f t="shared" si="2"/>
        <v>1.3500000000000012E-2</v>
      </c>
      <c r="F17" s="3">
        <f t="shared" si="3"/>
        <v>0.16350000000000001</v>
      </c>
      <c r="H17" s="3">
        <v>1.3</v>
      </c>
      <c r="I17" s="25">
        <v>8</v>
      </c>
      <c r="J17" s="21">
        <v>-0.14000000000000057</v>
      </c>
      <c r="L17" s="27">
        <v>6.5000000000000002E-2</v>
      </c>
      <c r="M17" s="26">
        <f t="shared" si="0"/>
        <v>0.16350000000000001</v>
      </c>
      <c r="O17" s="10" t="s">
        <v>66</v>
      </c>
      <c r="AF17">
        <v>1.3</v>
      </c>
      <c r="AG17">
        <v>8.14</v>
      </c>
      <c r="AH17" s="11">
        <v>8</v>
      </c>
      <c r="AI17">
        <f t="shared" si="1"/>
        <v>-0.14000000000000057</v>
      </c>
    </row>
    <row r="18" spans="1:35" x14ac:dyDescent="0.25">
      <c r="A18" s="3">
        <v>7.0000000000000007E-2</v>
      </c>
      <c r="B18" s="3">
        <v>0.16</v>
      </c>
      <c r="C18" s="3">
        <v>0.14000000000000001</v>
      </c>
      <c r="D18" s="22">
        <f t="shared" si="2"/>
        <v>1.3000000000000012E-2</v>
      </c>
      <c r="F18" s="3">
        <f t="shared" si="3"/>
        <v>0.17300000000000001</v>
      </c>
      <c r="H18" s="3">
        <v>1.4</v>
      </c>
      <c r="I18" s="25">
        <v>9</v>
      </c>
      <c r="J18" s="21">
        <v>0.1899999999999995</v>
      </c>
      <c r="L18" s="27">
        <v>7.0000000000000007E-2</v>
      </c>
      <c r="M18" s="26">
        <f t="shared" si="0"/>
        <v>0.17300000000000001</v>
      </c>
      <c r="O18" s="10" t="s">
        <v>67</v>
      </c>
      <c r="AF18">
        <v>1.4</v>
      </c>
      <c r="AG18">
        <v>8.81</v>
      </c>
      <c r="AH18" s="11">
        <v>9</v>
      </c>
      <c r="AI18">
        <f t="shared" si="1"/>
        <v>0.1899999999999995</v>
      </c>
    </row>
    <row r="19" spans="1:35" x14ac:dyDescent="0.25">
      <c r="A19" s="3">
        <v>7.4999999999999997E-2</v>
      </c>
      <c r="B19" s="3">
        <v>0.18</v>
      </c>
      <c r="C19" s="3">
        <v>0.15</v>
      </c>
      <c r="D19" s="22">
        <f t="shared" si="2"/>
        <v>2.5000000000000022E-3</v>
      </c>
      <c r="F19" s="3">
        <f t="shared" si="3"/>
        <v>0.1825</v>
      </c>
      <c r="H19" s="3">
        <v>1.5</v>
      </c>
      <c r="I19" s="25">
        <v>9.5</v>
      </c>
      <c r="J19" s="21">
        <v>9.9999999999997868E-3</v>
      </c>
      <c r="L19" s="27">
        <v>7.4999999999999997E-2</v>
      </c>
      <c r="M19" s="26">
        <f t="shared" si="0"/>
        <v>0.1825</v>
      </c>
      <c r="O19" s="10" t="s">
        <v>68</v>
      </c>
      <c r="AF19">
        <v>1.5</v>
      </c>
      <c r="AG19">
        <v>9.49</v>
      </c>
      <c r="AH19" s="11">
        <v>9.5</v>
      </c>
      <c r="AI19">
        <f t="shared" si="1"/>
        <v>9.9999999999997868E-3</v>
      </c>
    </row>
    <row r="20" spans="1:35" x14ac:dyDescent="0.25">
      <c r="A20" s="3">
        <v>0.08</v>
      </c>
      <c r="B20" s="3">
        <v>0.19</v>
      </c>
      <c r="C20" s="3">
        <v>0.16</v>
      </c>
      <c r="D20" s="22">
        <f t="shared" si="2"/>
        <v>2.0000000000000018E-3</v>
      </c>
      <c r="F20" s="3">
        <f t="shared" si="3"/>
        <v>0.192</v>
      </c>
      <c r="H20" s="3">
        <v>1.6</v>
      </c>
      <c r="I20" s="25">
        <v>10</v>
      </c>
      <c r="J20" s="21">
        <v>-0.16000000000000014</v>
      </c>
      <c r="L20" s="27">
        <v>0.08</v>
      </c>
      <c r="M20" s="26">
        <f t="shared" si="0"/>
        <v>0.192</v>
      </c>
      <c r="O20" s="10" t="s">
        <v>69</v>
      </c>
      <c r="AF20">
        <v>1.6</v>
      </c>
      <c r="AG20">
        <v>10.16</v>
      </c>
      <c r="AH20" s="11">
        <v>10</v>
      </c>
      <c r="AI20">
        <f t="shared" si="1"/>
        <v>-0.16000000000000014</v>
      </c>
    </row>
    <row r="21" spans="1:35" x14ac:dyDescent="0.25">
      <c r="A21" s="3">
        <v>8.5000000000000006E-2</v>
      </c>
      <c r="B21" s="3">
        <v>0.21</v>
      </c>
      <c r="C21" s="3">
        <v>0.18</v>
      </c>
      <c r="D21" s="22">
        <f t="shared" si="2"/>
        <v>-8.4999999999999798E-3</v>
      </c>
      <c r="F21" s="3">
        <f t="shared" si="3"/>
        <v>0.20150000000000001</v>
      </c>
      <c r="H21" s="3">
        <v>1.7</v>
      </c>
      <c r="I21" s="25">
        <v>10.95</v>
      </c>
      <c r="J21" s="21">
        <v>0.10999999999999943</v>
      </c>
      <c r="L21" s="27">
        <v>8.5000000000000006E-2</v>
      </c>
      <c r="M21" s="26">
        <f t="shared" si="0"/>
        <v>0.20150000000000001</v>
      </c>
      <c r="O21" s="10" t="s">
        <v>70</v>
      </c>
      <c r="AF21">
        <v>1.7</v>
      </c>
      <c r="AG21">
        <v>10.84</v>
      </c>
      <c r="AH21" s="11">
        <v>10.95</v>
      </c>
      <c r="AI21">
        <f t="shared" si="1"/>
        <v>0.10999999999999943</v>
      </c>
    </row>
    <row r="22" spans="1:35" x14ac:dyDescent="0.25">
      <c r="A22" s="3">
        <v>0.09</v>
      </c>
      <c r="B22" s="3">
        <v>0.22</v>
      </c>
      <c r="C22" s="3">
        <v>0.19</v>
      </c>
      <c r="D22" s="22">
        <f t="shared" si="2"/>
        <v>-9.000000000000008E-3</v>
      </c>
      <c r="F22" s="3">
        <f t="shared" si="3"/>
        <v>0.21099999999999999</v>
      </c>
      <c r="H22" s="3">
        <v>1.8</v>
      </c>
      <c r="I22" s="25">
        <v>11.8</v>
      </c>
      <c r="J22" s="21">
        <v>0.29000000000000092</v>
      </c>
      <c r="L22" s="27">
        <v>0.09</v>
      </c>
      <c r="M22" s="26">
        <f t="shared" si="0"/>
        <v>0.21099999999999999</v>
      </c>
      <c r="AF22">
        <v>1.8</v>
      </c>
      <c r="AG22">
        <v>11.51</v>
      </c>
      <c r="AH22" s="11">
        <v>11.8</v>
      </c>
      <c r="AI22">
        <f t="shared" si="1"/>
        <v>0.29000000000000092</v>
      </c>
    </row>
    <row r="23" spans="1:35" x14ac:dyDescent="0.25">
      <c r="A23" s="3">
        <v>9.5000000000000001E-2</v>
      </c>
      <c r="B23" s="3">
        <v>0.24</v>
      </c>
      <c r="C23" s="3">
        <v>0.2</v>
      </c>
      <c r="D23" s="22">
        <f t="shared" si="2"/>
        <v>-1.949999999999999E-2</v>
      </c>
      <c r="F23" s="3">
        <f t="shared" si="3"/>
        <v>0.2205</v>
      </c>
      <c r="H23" s="3">
        <v>1.9</v>
      </c>
      <c r="I23" s="25">
        <v>12</v>
      </c>
      <c r="J23" s="21">
        <v>-0.1899999999999995</v>
      </c>
      <c r="L23" s="27">
        <v>9.5000000000000001E-2</v>
      </c>
      <c r="M23" s="26">
        <f t="shared" si="0"/>
        <v>0.2205</v>
      </c>
      <c r="AF23">
        <v>1.9</v>
      </c>
      <c r="AG23">
        <v>12.19</v>
      </c>
      <c r="AH23" s="11">
        <v>12</v>
      </c>
      <c r="AI23">
        <f t="shared" si="1"/>
        <v>-0.1899999999999995</v>
      </c>
    </row>
    <row r="24" spans="1:35" x14ac:dyDescent="0.25">
      <c r="A24" s="3">
        <v>0.1</v>
      </c>
      <c r="B24" s="3">
        <v>0.26</v>
      </c>
      <c r="C24" s="3">
        <v>0.22</v>
      </c>
      <c r="D24" s="21">
        <f t="shared" ref="D24" si="4">M24-B24</f>
        <v>-0.03</v>
      </c>
      <c r="F24" s="3">
        <f t="shared" si="3"/>
        <v>0.23</v>
      </c>
      <c r="H24" s="3">
        <v>2</v>
      </c>
      <c r="I24" s="25">
        <v>12.5</v>
      </c>
      <c r="J24" s="21">
        <v>-0.35999999999999943</v>
      </c>
      <c r="L24" s="24">
        <v>0.1</v>
      </c>
      <c r="M24" s="26">
        <f t="shared" si="0"/>
        <v>0.23</v>
      </c>
      <c r="AF24">
        <v>2</v>
      </c>
      <c r="AG24">
        <v>12.86</v>
      </c>
      <c r="AH24" s="11">
        <v>12.5</v>
      </c>
      <c r="AI24">
        <f t="shared" si="1"/>
        <v>-0.35999999999999943</v>
      </c>
    </row>
    <row r="25" spans="1:35" x14ac:dyDescent="0.25">
      <c r="A25">
        <v>0.105</v>
      </c>
      <c r="B25">
        <v>0.28000000000000003</v>
      </c>
      <c r="C25">
        <v>0.23</v>
      </c>
      <c r="H25" s="3">
        <v>2.0299999999999998</v>
      </c>
      <c r="I25" s="25">
        <v>13</v>
      </c>
      <c r="J25" s="21">
        <v>-6.0000000000000497E-2</v>
      </c>
      <c r="L25">
        <v>0.105</v>
      </c>
      <c r="O25" s="15" t="s">
        <v>56</v>
      </c>
      <c r="AF25">
        <v>2.0299999999999998</v>
      </c>
      <c r="AG25">
        <v>13.06</v>
      </c>
      <c r="AH25" s="11">
        <v>13</v>
      </c>
      <c r="AI25">
        <f t="shared" si="1"/>
        <v>-6.0000000000000497E-2</v>
      </c>
    </row>
    <row r="26" spans="1:35" x14ac:dyDescent="0.25">
      <c r="A26">
        <v>0.11</v>
      </c>
      <c r="B26">
        <v>0.28999999999999998</v>
      </c>
      <c r="C26">
        <v>0.25</v>
      </c>
      <c r="L26">
        <v>0.11</v>
      </c>
      <c r="O26" s="12" t="s">
        <v>58</v>
      </c>
    </row>
    <row r="27" spans="1:35" x14ac:dyDescent="0.25">
      <c r="A27">
        <v>0.115</v>
      </c>
      <c r="B27">
        <v>0.31</v>
      </c>
      <c r="C27">
        <v>0.27</v>
      </c>
      <c r="L27">
        <v>0.115</v>
      </c>
      <c r="O27" s="10" t="s">
        <v>52</v>
      </c>
    </row>
    <row r="28" spans="1:35" x14ac:dyDescent="0.25">
      <c r="A28">
        <v>0.12</v>
      </c>
      <c r="B28">
        <v>0.33</v>
      </c>
      <c r="C28">
        <v>0.28000000000000003</v>
      </c>
      <c r="L28">
        <v>0.12</v>
      </c>
      <c r="O28" s="13" t="s">
        <v>59</v>
      </c>
    </row>
    <row r="29" spans="1:35" x14ac:dyDescent="0.25">
      <c r="A29">
        <v>0.125</v>
      </c>
      <c r="B29">
        <v>0.35</v>
      </c>
      <c r="C29">
        <v>0.3</v>
      </c>
      <c r="L29">
        <v>0.125</v>
      </c>
      <c r="O29" s="14" t="s">
        <v>57</v>
      </c>
    </row>
    <row r="30" spans="1:35" x14ac:dyDescent="0.25">
      <c r="A30">
        <v>0.13</v>
      </c>
      <c r="B30">
        <v>0.37</v>
      </c>
      <c r="C30">
        <v>0.32</v>
      </c>
      <c r="L30">
        <v>0.13</v>
      </c>
    </row>
    <row r="31" spans="1:35" x14ac:dyDescent="0.25">
      <c r="A31">
        <v>0.13500000000000001</v>
      </c>
      <c r="B31">
        <v>0.4</v>
      </c>
      <c r="C31">
        <v>0.34</v>
      </c>
      <c r="L31">
        <v>0.13500000000000001</v>
      </c>
    </row>
    <row r="32" spans="1:35" x14ac:dyDescent="0.25">
      <c r="A32">
        <v>0.14000000000000001</v>
      </c>
      <c r="B32">
        <v>0.42</v>
      </c>
      <c r="C32">
        <v>0.35</v>
      </c>
      <c r="L32">
        <v>0.14000000000000001</v>
      </c>
    </row>
    <row r="33" spans="1:12" x14ac:dyDescent="0.25">
      <c r="A33">
        <v>0.14499999999999999</v>
      </c>
      <c r="B33">
        <v>0.44</v>
      </c>
      <c r="C33">
        <v>0.37</v>
      </c>
      <c r="L33">
        <v>0.14499999999999999</v>
      </c>
    </row>
    <row r="34" spans="1:12" x14ac:dyDescent="0.25">
      <c r="A34">
        <v>0.15</v>
      </c>
      <c r="B34">
        <v>0.46</v>
      </c>
      <c r="C34">
        <v>0.39</v>
      </c>
      <c r="L34">
        <v>0.15</v>
      </c>
    </row>
    <row r="35" spans="1:12" x14ac:dyDescent="0.25">
      <c r="A35">
        <v>0.155</v>
      </c>
      <c r="B35">
        <v>0.49</v>
      </c>
      <c r="C35">
        <v>0.41</v>
      </c>
      <c r="L35">
        <v>0.155</v>
      </c>
    </row>
    <row r="36" spans="1:12" x14ac:dyDescent="0.25">
      <c r="A36">
        <v>0.16</v>
      </c>
      <c r="B36">
        <v>0.51</v>
      </c>
      <c r="C36">
        <v>0.43</v>
      </c>
      <c r="L36">
        <v>0.16</v>
      </c>
    </row>
    <row r="37" spans="1:12" x14ac:dyDescent="0.25">
      <c r="A37">
        <v>0.16500000000000001</v>
      </c>
      <c r="B37">
        <v>0.54</v>
      </c>
      <c r="C37">
        <v>0.46</v>
      </c>
      <c r="L37">
        <v>0.16500000000000001</v>
      </c>
    </row>
    <row r="38" spans="1:12" x14ac:dyDescent="0.25">
      <c r="A38">
        <v>0.17</v>
      </c>
      <c r="B38">
        <v>0.56000000000000005</v>
      </c>
      <c r="C38">
        <v>0.48</v>
      </c>
      <c r="L38">
        <v>0.17</v>
      </c>
    </row>
    <row r="39" spans="1:12" x14ac:dyDescent="0.25">
      <c r="A39">
        <v>0.17499999999999999</v>
      </c>
      <c r="B39">
        <v>0.59</v>
      </c>
      <c r="C39">
        <v>0.5</v>
      </c>
      <c r="L39">
        <v>0.17499999999999999</v>
      </c>
    </row>
    <row r="40" spans="1:12" x14ac:dyDescent="0.25">
      <c r="A40">
        <v>0.18</v>
      </c>
      <c r="B40">
        <v>0.61</v>
      </c>
      <c r="C40">
        <v>0.52</v>
      </c>
      <c r="L40">
        <v>0.18</v>
      </c>
    </row>
    <row r="41" spans="1:12" x14ac:dyDescent="0.25">
      <c r="A41">
        <v>0.185</v>
      </c>
      <c r="B41">
        <v>0.64</v>
      </c>
      <c r="C41">
        <v>0.55000000000000004</v>
      </c>
      <c r="L41">
        <v>0.185</v>
      </c>
    </row>
    <row r="42" spans="1:12" x14ac:dyDescent="0.25">
      <c r="A42">
        <v>0.19</v>
      </c>
      <c r="B42">
        <v>0.67</v>
      </c>
      <c r="C42">
        <v>0.56999999999999995</v>
      </c>
      <c r="L42">
        <v>0.19</v>
      </c>
    </row>
    <row r="43" spans="1:12" x14ac:dyDescent="0.25">
      <c r="A43">
        <v>0.19500000000000001</v>
      </c>
      <c r="B43">
        <v>0.7</v>
      </c>
      <c r="C43">
        <v>0.59</v>
      </c>
      <c r="L43">
        <v>0.19500000000000001</v>
      </c>
    </row>
    <row r="44" spans="1:12" x14ac:dyDescent="0.25">
      <c r="A44">
        <v>0.2</v>
      </c>
      <c r="B44">
        <v>0.73</v>
      </c>
      <c r="C44">
        <v>0.62</v>
      </c>
      <c r="D44" s="12">
        <v>0.12</v>
      </c>
      <c r="F44" s="12"/>
      <c r="L44">
        <v>0.2</v>
      </c>
    </row>
    <row r="45" spans="1:12" x14ac:dyDescent="0.25">
      <c r="A45">
        <v>0.20499999999999999</v>
      </c>
      <c r="B45">
        <v>0.76</v>
      </c>
      <c r="C45">
        <v>0.64</v>
      </c>
      <c r="L45">
        <v>0.20499999999999999</v>
      </c>
    </row>
    <row r="46" spans="1:12" x14ac:dyDescent="0.25">
      <c r="A46">
        <v>0.21</v>
      </c>
      <c r="B46">
        <v>0.79</v>
      </c>
      <c r="C46">
        <v>0.67</v>
      </c>
      <c r="L46">
        <v>0.21</v>
      </c>
    </row>
    <row r="47" spans="1:12" x14ac:dyDescent="0.25">
      <c r="A47">
        <v>0.215</v>
      </c>
      <c r="B47">
        <v>0.82</v>
      </c>
      <c r="C47">
        <v>0.7</v>
      </c>
      <c r="L47">
        <v>0.215</v>
      </c>
    </row>
    <row r="48" spans="1:12" x14ac:dyDescent="0.25">
      <c r="A48">
        <v>0.22</v>
      </c>
      <c r="B48">
        <v>0.85</v>
      </c>
      <c r="C48">
        <v>0.72</v>
      </c>
      <c r="L48">
        <v>0.22</v>
      </c>
    </row>
    <row r="49" spans="1:12" x14ac:dyDescent="0.25">
      <c r="A49">
        <v>0.22500000000000001</v>
      </c>
      <c r="B49">
        <v>0.88</v>
      </c>
      <c r="C49">
        <v>0.75</v>
      </c>
      <c r="L49">
        <v>0.22500000000000001</v>
      </c>
    </row>
    <row r="50" spans="1:12" x14ac:dyDescent="0.25">
      <c r="A50">
        <v>0.23</v>
      </c>
      <c r="B50">
        <v>0.92</v>
      </c>
      <c r="C50">
        <v>0.78</v>
      </c>
      <c r="L50">
        <v>0.23</v>
      </c>
    </row>
    <row r="51" spans="1:12" x14ac:dyDescent="0.25">
      <c r="A51">
        <v>0.23499999999999999</v>
      </c>
      <c r="B51">
        <v>0.95</v>
      </c>
      <c r="C51">
        <v>0.81</v>
      </c>
      <c r="L51">
        <v>0.23499999999999999</v>
      </c>
    </row>
    <row r="52" spans="1:12" x14ac:dyDescent="0.25">
      <c r="A52">
        <v>0.24</v>
      </c>
      <c r="B52">
        <v>0.98</v>
      </c>
      <c r="C52">
        <v>0.83</v>
      </c>
      <c r="L52">
        <v>0.24</v>
      </c>
    </row>
    <row r="53" spans="1:12" x14ac:dyDescent="0.25">
      <c r="A53">
        <v>0.245</v>
      </c>
      <c r="B53">
        <v>1.01</v>
      </c>
      <c r="C53">
        <v>0.86</v>
      </c>
      <c r="L53">
        <v>0.245</v>
      </c>
    </row>
    <row r="54" spans="1:12" x14ac:dyDescent="0.25">
      <c r="A54">
        <v>0.25</v>
      </c>
      <c r="B54">
        <v>1.05</v>
      </c>
      <c r="C54">
        <v>0.89</v>
      </c>
      <c r="L54">
        <v>0.25</v>
      </c>
    </row>
    <row r="55" spans="1:12" x14ac:dyDescent="0.25">
      <c r="A55">
        <v>0.255</v>
      </c>
      <c r="B55">
        <v>1.08</v>
      </c>
      <c r="C55">
        <v>0.92</v>
      </c>
      <c r="L55">
        <v>0.255</v>
      </c>
    </row>
    <row r="56" spans="1:12" x14ac:dyDescent="0.25">
      <c r="A56">
        <v>0.26</v>
      </c>
      <c r="B56">
        <v>1.1200000000000001</v>
      </c>
      <c r="C56">
        <v>0.95</v>
      </c>
      <c r="L56">
        <v>0.26</v>
      </c>
    </row>
    <row r="57" spans="1:12" x14ac:dyDescent="0.25">
      <c r="A57">
        <v>0.26500000000000001</v>
      </c>
      <c r="B57">
        <v>1.1499999999999999</v>
      </c>
      <c r="C57">
        <v>0.98</v>
      </c>
      <c r="L57">
        <v>0.26500000000000001</v>
      </c>
    </row>
    <row r="58" spans="1:12" x14ac:dyDescent="0.25">
      <c r="A58">
        <v>0.27</v>
      </c>
      <c r="B58">
        <v>1.18</v>
      </c>
      <c r="C58">
        <v>1.01</v>
      </c>
      <c r="L58">
        <v>0.27</v>
      </c>
    </row>
    <row r="59" spans="1:12" x14ac:dyDescent="0.25">
      <c r="A59">
        <v>0.27500000000000002</v>
      </c>
      <c r="B59">
        <v>1.22</v>
      </c>
      <c r="C59">
        <v>1.03</v>
      </c>
      <c r="L59">
        <v>0.27500000000000002</v>
      </c>
    </row>
    <row r="60" spans="1:12" x14ac:dyDescent="0.25">
      <c r="A60">
        <v>0.28000000000000003</v>
      </c>
      <c r="B60">
        <v>1.25</v>
      </c>
      <c r="C60">
        <v>1.06</v>
      </c>
      <c r="L60">
        <v>0.28000000000000003</v>
      </c>
    </row>
    <row r="61" spans="1:12" x14ac:dyDescent="0.25">
      <c r="A61">
        <v>0.28499999999999998</v>
      </c>
      <c r="B61">
        <v>1.28</v>
      </c>
      <c r="C61">
        <v>1.0900000000000001</v>
      </c>
      <c r="L61">
        <v>0.28499999999999998</v>
      </c>
    </row>
    <row r="62" spans="1:12" x14ac:dyDescent="0.25">
      <c r="A62">
        <v>0.28999999999999998</v>
      </c>
      <c r="B62">
        <v>1.32</v>
      </c>
      <c r="C62">
        <v>1.1200000000000001</v>
      </c>
      <c r="L62">
        <v>0.28999999999999998</v>
      </c>
    </row>
    <row r="63" spans="1:12" x14ac:dyDescent="0.25">
      <c r="A63">
        <v>0.29499999999999998</v>
      </c>
      <c r="B63">
        <v>1.35</v>
      </c>
      <c r="C63">
        <v>1.1499999999999999</v>
      </c>
      <c r="L63">
        <v>0.29499999999999998</v>
      </c>
    </row>
    <row r="64" spans="1:12" x14ac:dyDescent="0.25">
      <c r="A64">
        <v>0.3</v>
      </c>
      <c r="B64">
        <v>1.39</v>
      </c>
      <c r="C64">
        <v>1.18</v>
      </c>
      <c r="D64" s="12">
        <v>-0.24</v>
      </c>
      <c r="F64" s="12"/>
      <c r="L64">
        <v>0.3</v>
      </c>
    </row>
    <row r="65" spans="1:12" x14ac:dyDescent="0.25">
      <c r="A65">
        <v>0.30499999999999999</v>
      </c>
      <c r="B65">
        <v>1.42</v>
      </c>
      <c r="C65">
        <v>1.21</v>
      </c>
      <c r="L65">
        <v>0.30499999999999999</v>
      </c>
    </row>
    <row r="66" spans="1:12" x14ac:dyDescent="0.25">
      <c r="A66">
        <v>0.31</v>
      </c>
      <c r="B66">
        <v>1.45</v>
      </c>
      <c r="C66">
        <v>1.24</v>
      </c>
      <c r="L66">
        <v>0.31</v>
      </c>
    </row>
    <row r="67" spans="1:12" x14ac:dyDescent="0.25">
      <c r="A67">
        <v>0.315</v>
      </c>
      <c r="B67">
        <v>1.49</v>
      </c>
      <c r="C67">
        <v>1.26</v>
      </c>
      <c r="L67">
        <v>0.315</v>
      </c>
    </row>
    <row r="68" spans="1:12" x14ac:dyDescent="0.25">
      <c r="A68">
        <v>0.32</v>
      </c>
      <c r="B68">
        <v>1.52</v>
      </c>
      <c r="C68">
        <v>1.29</v>
      </c>
      <c r="L68">
        <v>0.32</v>
      </c>
    </row>
    <row r="69" spans="1:12" x14ac:dyDescent="0.25">
      <c r="A69">
        <v>0.32500000000000001</v>
      </c>
      <c r="B69">
        <v>1.55</v>
      </c>
      <c r="C69">
        <v>1.32</v>
      </c>
      <c r="L69">
        <v>0.32500000000000001</v>
      </c>
    </row>
    <row r="70" spans="1:12" x14ac:dyDescent="0.25">
      <c r="A70">
        <v>0.33</v>
      </c>
      <c r="B70">
        <v>1.59</v>
      </c>
      <c r="C70">
        <v>1.35</v>
      </c>
      <c r="L70">
        <v>0.33</v>
      </c>
    </row>
    <row r="71" spans="1:12" x14ac:dyDescent="0.25">
      <c r="A71">
        <v>0.33500000000000002</v>
      </c>
      <c r="B71">
        <v>1.62</v>
      </c>
      <c r="C71">
        <v>1.38</v>
      </c>
      <c r="L71">
        <v>0.33500000000000002</v>
      </c>
    </row>
    <row r="72" spans="1:12" x14ac:dyDescent="0.25">
      <c r="A72">
        <v>0.34</v>
      </c>
      <c r="B72">
        <v>1.66</v>
      </c>
      <c r="C72">
        <v>1.41</v>
      </c>
      <c r="L72">
        <v>0.34</v>
      </c>
    </row>
    <row r="73" spans="1:12" x14ac:dyDescent="0.25">
      <c r="A73">
        <v>0.34499999999999997</v>
      </c>
      <c r="B73">
        <v>1.69</v>
      </c>
      <c r="C73">
        <v>1.44</v>
      </c>
      <c r="L73">
        <v>0.34499999999999997</v>
      </c>
    </row>
    <row r="74" spans="1:12" x14ac:dyDescent="0.25">
      <c r="A74">
        <v>0.35</v>
      </c>
      <c r="B74">
        <v>1.72</v>
      </c>
      <c r="C74">
        <v>1.46</v>
      </c>
      <c r="L74">
        <v>0.35</v>
      </c>
    </row>
    <row r="75" spans="1:12" x14ac:dyDescent="0.25">
      <c r="A75">
        <v>0.35499999999999998</v>
      </c>
      <c r="B75">
        <v>1.76</v>
      </c>
      <c r="C75">
        <v>1.49</v>
      </c>
      <c r="L75">
        <v>0.35499999999999998</v>
      </c>
    </row>
    <row r="76" spans="1:12" x14ac:dyDescent="0.25">
      <c r="A76">
        <v>0.36</v>
      </c>
      <c r="B76">
        <v>1.79</v>
      </c>
      <c r="C76">
        <v>1.52</v>
      </c>
      <c r="L76">
        <v>0.36</v>
      </c>
    </row>
    <row r="77" spans="1:12" x14ac:dyDescent="0.25">
      <c r="A77">
        <v>0.36499999999999999</v>
      </c>
      <c r="B77">
        <v>1.82</v>
      </c>
      <c r="C77">
        <v>1.55</v>
      </c>
      <c r="L77">
        <v>0.36499999999999999</v>
      </c>
    </row>
    <row r="78" spans="1:12" x14ac:dyDescent="0.25">
      <c r="A78">
        <v>0.37</v>
      </c>
      <c r="B78">
        <v>1.86</v>
      </c>
      <c r="C78">
        <v>1.58</v>
      </c>
      <c r="L78">
        <v>0.37</v>
      </c>
    </row>
    <row r="79" spans="1:12" x14ac:dyDescent="0.25">
      <c r="A79">
        <v>0.375</v>
      </c>
      <c r="B79">
        <v>1.89</v>
      </c>
      <c r="C79">
        <v>1.61</v>
      </c>
      <c r="L79">
        <v>0.375</v>
      </c>
    </row>
    <row r="80" spans="1:12" x14ac:dyDescent="0.25">
      <c r="A80">
        <v>0.38</v>
      </c>
      <c r="B80">
        <v>1.93</v>
      </c>
      <c r="C80">
        <v>1.64</v>
      </c>
      <c r="L80">
        <v>0.38</v>
      </c>
    </row>
    <row r="81" spans="1:12" x14ac:dyDescent="0.25">
      <c r="A81">
        <v>0.38500000000000001</v>
      </c>
      <c r="B81">
        <v>1.96</v>
      </c>
      <c r="C81">
        <v>1.67</v>
      </c>
      <c r="L81">
        <v>0.38500000000000001</v>
      </c>
    </row>
    <row r="82" spans="1:12" x14ac:dyDescent="0.25">
      <c r="A82">
        <v>0.39</v>
      </c>
      <c r="B82">
        <v>1.99</v>
      </c>
      <c r="C82">
        <v>1.69</v>
      </c>
      <c r="L82">
        <v>0.39</v>
      </c>
    </row>
    <row r="83" spans="1:12" x14ac:dyDescent="0.25">
      <c r="A83">
        <v>0.39500000000000002</v>
      </c>
      <c r="B83">
        <v>2.0299999999999998</v>
      </c>
      <c r="C83">
        <v>1.72</v>
      </c>
      <c r="L83">
        <v>0.39500000000000002</v>
      </c>
    </row>
    <row r="84" spans="1:12" x14ac:dyDescent="0.25">
      <c r="A84">
        <v>0.4</v>
      </c>
      <c r="B84">
        <v>2.06</v>
      </c>
      <c r="C84">
        <v>1.75</v>
      </c>
      <c r="D84" s="12">
        <v>-6.0000000000000053E-2</v>
      </c>
      <c r="F84" s="12"/>
      <c r="L84">
        <v>0.4</v>
      </c>
    </row>
    <row r="85" spans="1:12" x14ac:dyDescent="0.25">
      <c r="A85">
        <v>0.40500000000000003</v>
      </c>
      <c r="B85">
        <v>2.09</v>
      </c>
      <c r="C85">
        <v>1.78</v>
      </c>
      <c r="L85">
        <v>0.40500000000000003</v>
      </c>
    </row>
    <row r="86" spans="1:12" x14ac:dyDescent="0.25">
      <c r="A86">
        <v>0.41</v>
      </c>
      <c r="B86">
        <v>2.13</v>
      </c>
      <c r="C86">
        <v>1.81</v>
      </c>
      <c r="L86">
        <v>0.41</v>
      </c>
    </row>
    <row r="87" spans="1:12" x14ac:dyDescent="0.25">
      <c r="A87">
        <v>0.41499999999999998</v>
      </c>
      <c r="B87">
        <v>2.16</v>
      </c>
      <c r="C87">
        <v>1.84</v>
      </c>
      <c r="L87">
        <v>0.41499999999999998</v>
      </c>
    </row>
    <row r="88" spans="1:12" x14ac:dyDescent="0.25">
      <c r="A88">
        <v>0.42</v>
      </c>
      <c r="B88">
        <v>2.2000000000000002</v>
      </c>
      <c r="C88">
        <v>1.87</v>
      </c>
      <c r="L88">
        <v>0.42</v>
      </c>
    </row>
    <row r="89" spans="1:12" x14ac:dyDescent="0.25">
      <c r="A89">
        <v>0.42499999999999999</v>
      </c>
      <c r="B89">
        <v>2.23</v>
      </c>
      <c r="C89">
        <v>1.89</v>
      </c>
      <c r="L89">
        <v>0.42499999999999999</v>
      </c>
    </row>
    <row r="90" spans="1:12" x14ac:dyDescent="0.25">
      <c r="A90">
        <v>0.43</v>
      </c>
      <c r="B90">
        <v>2.2599999999999998</v>
      </c>
      <c r="C90">
        <v>1.92</v>
      </c>
      <c r="L90">
        <v>0.43</v>
      </c>
    </row>
    <row r="91" spans="1:12" x14ac:dyDescent="0.25">
      <c r="A91">
        <v>0.435</v>
      </c>
      <c r="B91">
        <v>2.2999999999999998</v>
      </c>
      <c r="C91">
        <v>1.95</v>
      </c>
      <c r="L91">
        <v>0.435</v>
      </c>
    </row>
    <row r="92" spans="1:12" x14ac:dyDescent="0.25">
      <c r="A92">
        <v>0.44</v>
      </c>
      <c r="B92">
        <v>2.33</v>
      </c>
      <c r="C92">
        <v>1.98</v>
      </c>
      <c r="L92">
        <v>0.44</v>
      </c>
    </row>
    <row r="93" spans="1:12" x14ac:dyDescent="0.25">
      <c r="A93">
        <v>0.44500000000000001</v>
      </c>
      <c r="B93">
        <v>2.36</v>
      </c>
      <c r="C93">
        <v>2.0099999999999998</v>
      </c>
      <c r="L93">
        <v>0.44500000000000001</v>
      </c>
    </row>
    <row r="94" spans="1:12" x14ac:dyDescent="0.25">
      <c r="A94">
        <v>0.45</v>
      </c>
      <c r="B94">
        <v>2.4</v>
      </c>
      <c r="C94">
        <v>2.04</v>
      </c>
      <c r="L94">
        <v>0.45</v>
      </c>
    </row>
    <row r="95" spans="1:12" x14ac:dyDescent="0.25">
      <c r="A95">
        <v>0.45500000000000002</v>
      </c>
      <c r="B95">
        <v>2.4300000000000002</v>
      </c>
      <c r="C95">
        <v>2.0699999999999998</v>
      </c>
      <c r="L95">
        <v>0.45500000000000002</v>
      </c>
    </row>
    <row r="96" spans="1:12" x14ac:dyDescent="0.25">
      <c r="A96">
        <v>0.46</v>
      </c>
      <c r="B96">
        <v>2.4700000000000002</v>
      </c>
      <c r="C96">
        <v>2.1</v>
      </c>
      <c r="L96">
        <v>0.46</v>
      </c>
    </row>
    <row r="97" spans="1:12" x14ac:dyDescent="0.25">
      <c r="A97">
        <v>0.46500000000000002</v>
      </c>
      <c r="B97">
        <v>2.5</v>
      </c>
      <c r="C97">
        <v>2.12</v>
      </c>
      <c r="L97">
        <v>0.46500000000000002</v>
      </c>
    </row>
    <row r="98" spans="1:12" x14ac:dyDescent="0.25">
      <c r="A98">
        <v>0.47</v>
      </c>
      <c r="B98">
        <v>2.5299999999999998</v>
      </c>
      <c r="C98">
        <v>2.15</v>
      </c>
      <c r="L98">
        <v>0.47</v>
      </c>
    </row>
    <row r="99" spans="1:12" x14ac:dyDescent="0.25">
      <c r="A99">
        <v>0.47499999999999998</v>
      </c>
      <c r="B99">
        <v>2.57</v>
      </c>
      <c r="C99">
        <v>2.1800000000000002</v>
      </c>
      <c r="L99">
        <v>0.47499999999999998</v>
      </c>
    </row>
    <row r="100" spans="1:12" x14ac:dyDescent="0.25">
      <c r="A100">
        <v>0.48</v>
      </c>
      <c r="B100">
        <v>2.6</v>
      </c>
      <c r="C100">
        <v>2.21</v>
      </c>
      <c r="L100">
        <v>0.48</v>
      </c>
    </row>
    <row r="101" spans="1:12" x14ac:dyDescent="0.25">
      <c r="A101">
        <v>0.48499999999999999</v>
      </c>
      <c r="B101">
        <v>2.63</v>
      </c>
      <c r="C101">
        <v>2.2400000000000002</v>
      </c>
      <c r="L101">
        <v>0.48499999999999999</v>
      </c>
    </row>
    <row r="102" spans="1:12" x14ac:dyDescent="0.25">
      <c r="A102">
        <v>0.49</v>
      </c>
      <c r="B102">
        <v>2.67</v>
      </c>
      <c r="C102">
        <v>2.27</v>
      </c>
      <c r="L102">
        <v>0.49</v>
      </c>
    </row>
    <row r="103" spans="1:12" x14ac:dyDescent="0.25">
      <c r="A103">
        <v>0.495</v>
      </c>
      <c r="B103">
        <v>2.7</v>
      </c>
      <c r="C103">
        <v>2.2999999999999998</v>
      </c>
      <c r="L103">
        <v>0.495</v>
      </c>
    </row>
    <row r="104" spans="1:12" x14ac:dyDescent="0.25">
      <c r="A104">
        <v>0.5</v>
      </c>
      <c r="B104">
        <v>2.74</v>
      </c>
      <c r="C104">
        <v>2.33</v>
      </c>
      <c r="D104" s="12">
        <v>-0.24000000000000021</v>
      </c>
      <c r="F104" s="12"/>
      <c r="L104">
        <v>0.5</v>
      </c>
    </row>
    <row r="105" spans="1:12" x14ac:dyDescent="0.25">
      <c r="A105">
        <v>0.505</v>
      </c>
      <c r="B105">
        <v>2.77</v>
      </c>
      <c r="C105">
        <v>2.35</v>
      </c>
      <c r="L105">
        <v>0.505</v>
      </c>
    </row>
    <row r="106" spans="1:12" x14ac:dyDescent="0.25">
      <c r="A106">
        <v>0.51</v>
      </c>
      <c r="B106">
        <v>2.8</v>
      </c>
      <c r="C106">
        <v>2.38</v>
      </c>
      <c r="L106">
        <v>0.51</v>
      </c>
    </row>
    <row r="107" spans="1:12" x14ac:dyDescent="0.25">
      <c r="A107">
        <v>0.51500000000000001</v>
      </c>
      <c r="B107">
        <v>2.84</v>
      </c>
      <c r="C107">
        <v>2.41</v>
      </c>
      <c r="L107">
        <v>0.51500000000000001</v>
      </c>
    </row>
    <row r="108" spans="1:12" x14ac:dyDescent="0.25">
      <c r="A108">
        <v>0.52</v>
      </c>
      <c r="B108">
        <v>2.87</v>
      </c>
      <c r="C108">
        <v>2.44</v>
      </c>
      <c r="L108">
        <v>0.52</v>
      </c>
    </row>
    <row r="109" spans="1:12" x14ac:dyDescent="0.25">
      <c r="A109">
        <v>0.52500000000000002</v>
      </c>
      <c r="B109">
        <v>2.9</v>
      </c>
      <c r="C109">
        <v>2.4700000000000002</v>
      </c>
      <c r="L109">
        <v>0.52500000000000002</v>
      </c>
    </row>
    <row r="110" spans="1:12" x14ac:dyDescent="0.25">
      <c r="A110">
        <v>0.53</v>
      </c>
      <c r="B110">
        <v>2.94</v>
      </c>
      <c r="C110">
        <v>2.5</v>
      </c>
      <c r="L110">
        <v>0.53</v>
      </c>
    </row>
    <row r="111" spans="1:12" x14ac:dyDescent="0.25">
      <c r="A111">
        <v>0.53500000000000003</v>
      </c>
      <c r="B111">
        <v>2.97</v>
      </c>
      <c r="C111">
        <v>2.5299999999999998</v>
      </c>
      <c r="L111">
        <v>0.53500000000000003</v>
      </c>
    </row>
    <row r="112" spans="1:12" x14ac:dyDescent="0.25">
      <c r="A112">
        <v>0.54</v>
      </c>
      <c r="B112">
        <v>3.01</v>
      </c>
      <c r="C112">
        <v>2.5499999999999998</v>
      </c>
      <c r="L112">
        <v>0.54</v>
      </c>
    </row>
    <row r="113" spans="1:12" x14ac:dyDescent="0.25">
      <c r="A113">
        <v>0.54500000000000004</v>
      </c>
      <c r="B113">
        <v>3.04</v>
      </c>
      <c r="C113">
        <v>2.58</v>
      </c>
      <c r="L113">
        <v>0.54500000000000004</v>
      </c>
    </row>
    <row r="114" spans="1:12" x14ac:dyDescent="0.25">
      <c r="A114">
        <v>0.55000000000000004</v>
      </c>
      <c r="B114">
        <v>3.07</v>
      </c>
      <c r="C114">
        <v>2.61</v>
      </c>
      <c r="L114">
        <v>0.55000000000000004</v>
      </c>
    </row>
    <row r="115" spans="1:12" x14ac:dyDescent="0.25">
      <c r="A115">
        <v>0.55500000000000005</v>
      </c>
      <c r="B115">
        <v>3.11</v>
      </c>
      <c r="C115">
        <v>2.64</v>
      </c>
      <c r="L115">
        <v>0.55500000000000005</v>
      </c>
    </row>
    <row r="116" spans="1:12" x14ac:dyDescent="0.25">
      <c r="A116">
        <v>0.56000000000000005</v>
      </c>
      <c r="B116">
        <v>3.14</v>
      </c>
      <c r="C116">
        <v>2.67</v>
      </c>
      <c r="L116">
        <v>0.56000000000000005</v>
      </c>
    </row>
    <row r="117" spans="1:12" x14ac:dyDescent="0.25">
      <c r="A117">
        <v>0.56499999999999995</v>
      </c>
      <c r="B117">
        <v>3.17</v>
      </c>
      <c r="C117">
        <v>2.7</v>
      </c>
      <c r="L117">
        <v>0.56499999999999995</v>
      </c>
    </row>
    <row r="118" spans="1:12" x14ac:dyDescent="0.25">
      <c r="A118">
        <v>0.56999999999999995</v>
      </c>
      <c r="B118">
        <v>3.21</v>
      </c>
      <c r="C118">
        <v>2.73</v>
      </c>
      <c r="L118">
        <v>0.56999999999999995</v>
      </c>
    </row>
    <row r="119" spans="1:12" x14ac:dyDescent="0.25">
      <c r="A119">
        <v>0.57499999999999996</v>
      </c>
      <c r="B119">
        <v>3.24</v>
      </c>
      <c r="C119">
        <v>2.76</v>
      </c>
      <c r="L119">
        <v>0.57499999999999996</v>
      </c>
    </row>
    <row r="120" spans="1:12" x14ac:dyDescent="0.25">
      <c r="A120">
        <v>0.57999999999999996</v>
      </c>
      <c r="B120">
        <v>3.28</v>
      </c>
      <c r="C120">
        <v>2.78</v>
      </c>
      <c r="L120">
        <v>0.57999999999999996</v>
      </c>
    </row>
    <row r="121" spans="1:12" x14ac:dyDescent="0.25">
      <c r="A121">
        <v>0.58499999999999996</v>
      </c>
      <c r="B121">
        <v>3.31</v>
      </c>
      <c r="C121">
        <v>2.81</v>
      </c>
      <c r="L121">
        <v>0.58499999999999996</v>
      </c>
    </row>
    <row r="122" spans="1:12" x14ac:dyDescent="0.25">
      <c r="A122">
        <v>0.59</v>
      </c>
      <c r="B122">
        <v>3.34</v>
      </c>
      <c r="C122">
        <v>2.84</v>
      </c>
      <c r="L122">
        <v>0.59</v>
      </c>
    </row>
    <row r="123" spans="1:12" x14ac:dyDescent="0.25">
      <c r="A123">
        <v>0.59499999999999997</v>
      </c>
      <c r="B123">
        <v>3.38</v>
      </c>
      <c r="C123">
        <v>2.87</v>
      </c>
      <c r="L123">
        <v>0.59499999999999997</v>
      </c>
    </row>
    <row r="124" spans="1:12" x14ac:dyDescent="0.25">
      <c r="A124">
        <v>0.6</v>
      </c>
      <c r="B124">
        <v>3.41</v>
      </c>
      <c r="C124">
        <v>2.9</v>
      </c>
      <c r="D124" s="12">
        <v>-0.18000000000000016</v>
      </c>
      <c r="F124" s="12"/>
      <c r="L124">
        <v>0.6</v>
      </c>
    </row>
    <row r="125" spans="1:12" x14ac:dyDescent="0.25">
      <c r="A125">
        <v>0.60499999999999998</v>
      </c>
      <c r="B125">
        <v>3.44</v>
      </c>
      <c r="C125">
        <v>2.93</v>
      </c>
      <c r="L125">
        <v>0.60499999999999998</v>
      </c>
    </row>
    <row r="126" spans="1:12" x14ac:dyDescent="0.25">
      <c r="A126">
        <v>0.61</v>
      </c>
      <c r="B126">
        <v>3.48</v>
      </c>
      <c r="C126">
        <v>2.96</v>
      </c>
      <c r="L126">
        <v>0.61</v>
      </c>
    </row>
    <row r="127" spans="1:12" x14ac:dyDescent="0.25">
      <c r="A127">
        <v>0.61499999999999999</v>
      </c>
      <c r="B127">
        <v>3.51</v>
      </c>
      <c r="C127">
        <v>2.99</v>
      </c>
      <c r="L127">
        <v>0.61499999999999999</v>
      </c>
    </row>
    <row r="128" spans="1:12" x14ac:dyDescent="0.25">
      <c r="A128">
        <v>0.62</v>
      </c>
      <c r="B128">
        <v>3.55</v>
      </c>
      <c r="C128">
        <v>3.01</v>
      </c>
      <c r="L128">
        <v>0.62</v>
      </c>
    </row>
    <row r="129" spans="1:12" x14ac:dyDescent="0.25">
      <c r="A129">
        <v>0.625</v>
      </c>
      <c r="B129">
        <v>3.58</v>
      </c>
      <c r="C129">
        <v>3.04</v>
      </c>
      <c r="L129">
        <v>0.625</v>
      </c>
    </row>
    <row r="130" spans="1:12" x14ac:dyDescent="0.25">
      <c r="A130">
        <v>0.63</v>
      </c>
      <c r="B130">
        <v>3.61</v>
      </c>
      <c r="C130">
        <v>3.07</v>
      </c>
      <c r="L130">
        <v>0.63</v>
      </c>
    </row>
    <row r="131" spans="1:12" x14ac:dyDescent="0.25">
      <c r="A131">
        <v>0.63500000000000001</v>
      </c>
      <c r="B131">
        <v>3.65</v>
      </c>
      <c r="C131">
        <v>3.1</v>
      </c>
      <c r="L131">
        <v>0.63500000000000001</v>
      </c>
    </row>
    <row r="132" spans="1:12" x14ac:dyDescent="0.25">
      <c r="A132">
        <v>0.64</v>
      </c>
      <c r="B132">
        <v>3.68</v>
      </c>
      <c r="C132">
        <v>3.13</v>
      </c>
      <c r="L132">
        <v>0.64</v>
      </c>
    </row>
    <row r="133" spans="1:12" x14ac:dyDescent="0.25">
      <c r="A133">
        <v>0.64500000000000002</v>
      </c>
      <c r="B133">
        <v>3.71</v>
      </c>
      <c r="C133">
        <v>3.16</v>
      </c>
      <c r="L133">
        <v>0.64500000000000002</v>
      </c>
    </row>
    <row r="134" spans="1:12" x14ac:dyDescent="0.25">
      <c r="A134">
        <v>0.65</v>
      </c>
      <c r="B134">
        <v>3.75</v>
      </c>
      <c r="C134">
        <v>3.19</v>
      </c>
      <c r="L134">
        <v>0.65</v>
      </c>
    </row>
    <row r="135" spans="1:12" x14ac:dyDescent="0.25">
      <c r="A135">
        <v>0.65500000000000003</v>
      </c>
      <c r="B135">
        <v>3.78</v>
      </c>
      <c r="C135">
        <v>3.21</v>
      </c>
      <c r="L135">
        <v>0.65500000000000003</v>
      </c>
    </row>
    <row r="136" spans="1:12" x14ac:dyDescent="0.25">
      <c r="A136">
        <v>0.66</v>
      </c>
      <c r="B136">
        <v>3.82</v>
      </c>
      <c r="C136">
        <v>3.24</v>
      </c>
      <c r="L136">
        <v>0.66</v>
      </c>
    </row>
    <row r="137" spans="1:12" x14ac:dyDescent="0.25">
      <c r="A137">
        <v>0.66500000000000004</v>
      </c>
      <c r="B137">
        <v>3.85</v>
      </c>
      <c r="C137">
        <v>3.27</v>
      </c>
      <c r="L137">
        <v>0.66500000000000004</v>
      </c>
    </row>
    <row r="138" spans="1:12" x14ac:dyDescent="0.25">
      <c r="A138">
        <v>0.67</v>
      </c>
      <c r="B138">
        <v>3.88</v>
      </c>
      <c r="C138">
        <v>3.3</v>
      </c>
      <c r="L138">
        <v>0.67</v>
      </c>
    </row>
    <row r="139" spans="1:12" x14ac:dyDescent="0.25">
      <c r="A139">
        <v>0.67500000000000004</v>
      </c>
      <c r="B139">
        <v>3.92</v>
      </c>
      <c r="C139">
        <v>3.33</v>
      </c>
      <c r="L139">
        <v>0.67500000000000004</v>
      </c>
    </row>
    <row r="140" spans="1:12" x14ac:dyDescent="0.25">
      <c r="A140">
        <v>0.68</v>
      </c>
      <c r="B140">
        <v>3.95</v>
      </c>
      <c r="C140">
        <v>3.36</v>
      </c>
      <c r="L140">
        <v>0.68</v>
      </c>
    </row>
    <row r="141" spans="1:12" x14ac:dyDescent="0.25">
      <c r="A141">
        <v>0.68500000000000005</v>
      </c>
      <c r="B141">
        <v>3.98</v>
      </c>
      <c r="C141">
        <v>3.39</v>
      </c>
      <c r="L141">
        <v>0.68500000000000005</v>
      </c>
    </row>
    <row r="142" spans="1:12" x14ac:dyDescent="0.25">
      <c r="A142">
        <v>0.69</v>
      </c>
      <c r="B142">
        <v>4.0199999999999996</v>
      </c>
      <c r="C142">
        <v>3.42</v>
      </c>
      <c r="L142">
        <v>0.69</v>
      </c>
    </row>
    <row r="143" spans="1:12" x14ac:dyDescent="0.25">
      <c r="A143">
        <v>0.69499999999999995</v>
      </c>
      <c r="B143">
        <v>4.05</v>
      </c>
      <c r="C143">
        <v>3.44</v>
      </c>
      <c r="L143">
        <v>0.69499999999999995</v>
      </c>
    </row>
    <row r="144" spans="1:12" x14ac:dyDescent="0.25">
      <c r="A144">
        <v>0.7</v>
      </c>
      <c r="B144">
        <v>4.09</v>
      </c>
      <c r="C144">
        <v>3.47</v>
      </c>
      <c r="D144" s="12">
        <v>0.16000000000000014</v>
      </c>
      <c r="F144" s="12"/>
      <c r="L144">
        <v>0.7</v>
      </c>
    </row>
    <row r="145" spans="1:12" x14ac:dyDescent="0.25">
      <c r="A145">
        <v>0.70499999999999996</v>
      </c>
      <c r="B145">
        <v>4.12</v>
      </c>
      <c r="C145">
        <v>3.5</v>
      </c>
      <c r="L145">
        <v>0.70499999999999996</v>
      </c>
    </row>
    <row r="146" spans="1:12" x14ac:dyDescent="0.25">
      <c r="A146">
        <v>0.71</v>
      </c>
      <c r="B146">
        <v>4.1500000000000004</v>
      </c>
      <c r="C146">
        <v>3.53</v>
      </c>
      <c r="L146">
        <v>0.71</v>
      </c>
    </row>
    <row r="147" spans="1:12" x14ac:dyDescent="0.25">
      <c r="A147">
        <v>0.71499999999999997</v>
      </c>
      <c r="B147">
        <v>4.1900000000000004</v>
      </c>
      <c r="C147">
        <v>3.56</v>
      </c>
      <c r="L147">
        <v>0.71499999999999997</v>
      </c>
    </row>
    <row r="148" spans="1:12" x14ac:dyDescent="0.25">
      <c r="A148">
        <v>0.72</v>
      </c>
      <c r="B148">
        <v>4.22</v>
      </c>
      <c r="C148">
        <v>3.59</v>
      </c>
      <c r="L148">
        <v>0.72</v>
      </c>
    </row>
    <row r="149" spans="1:12" x14ac:dyDescent="0.25">
      <c r="A149">
        <v>0.72499999999999998</v>
      </c>
      <c r="B149">
        <v>4.25</v>
      </c>
      <c r="C149">
        <v>3.62</v>
      </c>
      <c r="L149">
        <v>0.72499999999999998</v>
      </c>
    </row>
    <row r="150" spans="1:12" x14ac:dyDescent="0.25">
      <c r="A150">
        <v>0.73</v>
      </c>
      <c r="B150">
        <v>4.29</v>
      </c>
      <c r="C150">
        <v>3.64</v>
      </c>
      <c r="L150">
        <v>0.73</v>
      </c>
    </row>
    <row r="151" spans="1:12" x14ac:dyDescent="0.25">
      <c r="A151">
        <v>0.73499999999999999</v>
      </c>
      <c r="B151">
        <v>4.32</v>
      </c>
      <c r="C151">
        <v>3.67</v>
      </c>
      <c r="L151">
        <v>0.73499999999999999</v>
      </c>
    </row>
    <row r="152" spans="1:12" x14ac:dyDescent="0.25">
      <c r="A152">
        <v>0.74</v>
      </c>
      <c r="B152">
        <v>4.3600000000000003</v>
      </c>
      <c r="C152">
        <v>3.7</v>
      </c>
      <c r="L152">
        <v>0.74</v>
      </c>
    </row>
    <row r="153" spans="1:12" x14ac:dyDescent="0.25">
      <c r="A153">
        <v>0.745</v>
      </c>
      <c r="B153">
        <v>4.3899999999999997</v>
      </c>
      <c r="C153">
        <v>3.73</v>
      </c>
      <c r="L153">
        <v>0.745</v>
      </c>
    </row>
    <row r="154" spans="1:12" x14ac:dyDescent="0.25">
      <c r="A154">
        <v>0.75</v>
      </c>
      <c r="B154">
        <v>4.42</v>
      </c>
      <c r="C154">
        <v>3.76</v>
      </c>
      <c r="L154">
        <v>0.75</v>
      </c>
    </row>
    <row r="155" spans="1:12" x14ac:dyDescent="0.25">
      <c r="A155">
        <v>0.755</v>
      </c>
      <c r="B155">
        <v>4.46</v>
      </c>
      <c r="C155">
        <v>3.79</v>
      </c>
      <c r="L155">
        <v>0.755</v>
      </c>
    </row>
    <row r="156" spans="1:12" x14ac:dyDescent="0.25">
      <c r="A156">
        <v>0.76</v>
      </c>
      <c r="B156">
        <v>4.49</v>
      </c>
      <c r="C156">
        <v>3.82</v>
      </c>
      <c r="L156">
        <v>0.76</v>
      </c>
    </row>
    <row r="157" spans="1:12" x14ac:dyDescent="0.25">
      <c r="A157">
        <v>0.76500000000000001</v>
      </c>
      <c r="B157">
        <v>4.5199999999999996</v>
      </c>
      <c r="C157">
        <v>3.85</v>
      </c>
      <c r="L157">
        <v>0.76500000000000001</v>
      </c>
    </row>
    <row r="158" spans="1:12" x14ac:dyDescent="0.25">
      <c r="A158">
        <v>0.77</v>
      </c>
      <c r="B158">
        <v>4.5599999999999996</v>
      </c>
      <c r="C158">
        <v>3.87</v>
      </c>
      <c r="L158">
        <v>0.77</v>
      </c>
    </row>
    <row r="159" spans="1:12" x14ac:dyDescent="0.25">
      <c r="A159">
        <v>0.77500000000000002</v>
      </c>
      <c r="B159">
        <v>4.59</v>
      </c>
      <c r="C159">
        <v>3.9</v>
      </c>
      <c r="L159">
        <v>0.77500000000000002</v>
      </c>
    </row>
    <row r="160" spans="1:12" x14ac:dyDescent="0.25">
      <c r="A160">
        <v>0.78</v>
      </c>
      <c r="B160">
        <v>4.63</v>
      </c>
      <c r="C160">
        <v>3.93</v>
      </c>
      <c r="L160">
        <v>0.78</v>
      </c>
    </row>
    <row r="161" spans="1:12" x14ac:dyDescent="0.25">
      <c r="A161">
        <v>0.78500000000000003</v>
      </c>
      <c r="B161">
        <v>4.66</v>
      </c>
      <c r="C161">
        <v>3.96</v>
      </c>
      <c r="L161">
        <v>0.78500000000000003</v>
      </c>
    </row>
    <row r="162" spans="1:12" x14ac:dyDescent="0.25">
      <c r="A162">
        <v>0.79</v>
      </c>
      <c r="B162">
        <v>4.6900000000000004</v>
      </c>
      <c r="C162">
        <v>3.99</v>
      </c>
      <c r="L162">
        <v>0.79</v>
      </c>
    </row>
    <row r="163" spans="1:12" x14ac:dyDescent="0.25">
      <c r="A163">
        <v>0.79500000000000004</v>
      </c>
      <c r="B163">
        <v>4.7300000000000004</v>
      </c>
      <c r="C163">
        <v>4.0199999999999996</v>
      </c>
      <c r="L163">
        <v>0.79500000000000004</v>
      </c>
    </row>
    <row r="164" spans="1:12" x14ac:dyDescent="0.25">
      <c r="A164">
        <v>0.8</v>
      </c>
      <c r="B164">
        <v>4.76</v>
      </c>
      <c r="C164">
        <v>4.05</v>
      </c>
      <c r="D164" s="12">
        <v>0.14000000000000057</v>
      </c>
      <c r="F164" s="12"/>
      <c r="L164">
        <v>0.8</v>
      </c>
    </row>
    <row r="165" spans="1:12" x14ac:dyDescent="0.25">
      <c r="A165">
        <v>0.80500000000000005</v>
      </c>
      <c r="B165">
        <v>4.79</v>
      </c>
      <c r="C165">
        <v>4.08</v>
      </c>
      <c r="L165">
        <v>0.80500000000000005</v>
      </c>
    </row>
    <row r="166" spans="1:12" x14ac:dyDescent="0.25">
      <c r="A166">
        <v>0.81</v>
      </c>
      <c r="B166">
        <v>4.83</v>
      </c>
      <c r="C166">
        <v>4.0999999999999996</v>
      </c>
      <c r="L166">
        <v>0.81</v>
      </c>
    </row>
    <row r="167" spans="1:12" x14ac:dyDescent="0.25">
      <c r="A167">
        <v>0.81499999999999995</v>
      </c>
      <c r="B167">
        <v>4.8600000000000003</v>
      </c>
      <c r="C167">
        <v>4.13</v>
      </c>
      <c r="L167">
        <v>0.81499999999999995</v>
      </c>
    </row>
    <row r="168" spans="1:12" x14ac:dyDescent="0.25">
      <c r="A168">
        <v>0.82</v>
      </c>
      <c r="B168">
        <v>4.9000000000000004</v>
      </c>
      <c r="C168">
        <v>4.16</v>
      </c>
      <c r="L168">
        <v>0.82</v>
      </c>
    </row>
    <row r="169" spans="1:12" x14ac:dyDescent="0.25">
      <c r="A169">
        <v>0.82499999999999996</v>
      </c>
      <c r="B169">
        <v>4.93</v>
      </c>
      <c r="C169">
        <v>4.1900000000000004</v>
      </c>
      <c r="L169">
        <v>0.82499999999999996</v>
      </c>
    </row>
    <row r="170" spans="1:12" x14ac:dyDescent="0.25">
      <c r="A170">
        <v>0.83</v>
      </c>
      <c r="B170">
        <v>4.96</v>
      </c>
      <c r="C170">
        <v>4.22</v>
      </c>
      <c r="L170">
        <v>0.83</v>
      </c>
    </row>
    <row r="171" spans="1:12" x14ac:dyDescent="0.25">
      <c r="A171">
        <v>0.83499999999999996</v>
      </c>
      <c r="B171">
        <v>5</v>
      </c>
      <c r="C171">
        <v>4.25</v>
      </c>
      <c r="L171">
        <v>0.83499999999999996</v>
      </c>
    </row>
    <row r="172" spans="1:12" x14ac:dyDescent="0.25">
      <c r="A172">
        <v>0.84</v>
      </c>
      <c r="B172">
        <v>5.03</v>
      </c>
      <c r="C172">
        <v>4.28</v>
      </c>
      <c r="L172">
        <v>0.84</v>
      </c>
    </row>
    <row r="173" spans="1:12" x14ac:dyDescent="0.25">
      <c r="A173">
        <v>0.84499999999999997</v>
      </c>
      <c r="B173">
        <v>5.0599999999999996</v>
      </c>
      <c r="C173">
        <v>4.3</v>
      </c>
      <c r="L173">
        <v>0.84499999999999997</v>
      </c>
    </row>
    <row r="174" spans="1:12" x14ac:dyDescent="0.25">
      <c r="A174">
        <v>0.85</v>
      </c>
      <c r="B174">
        <v>5.0999999999999996</v>
      </c>
      <c r="C174">
        <v>4.33</v>
      </c>
      <c r="L174">
        <v>0.85</v>
      </c>
    </row>
    <row r="175" spans="1:12" x14ac:dyDescent="0.25">
      <c r="A175">
        <v>0.85499999999999998</v>
      </c>
      <c r="B175">
        <v>5.13</v>
      </c>
      <c r="C175">
        <v>4.3600000000000003</v>
      </c>
      <c r="L175">
        <v>0.85499999999999998</v>
      </c>
    </row>
    <row r="176" spans="1:12" x14ac:dyDescent="0.25">
      <c r="A176">
        <v>0.86</v>
      </c>
      <c r="B176">
        <v>5.17</v>
      </c>
      <c r="C176">
        <v>4.3899999999999997</v>
      </c>
      <c r="L176">
        <v>0.86</v>
      </c>
    </row>
    <row r="177" spans="1:12" x14ac:dyDescent="0.25">
      <c r="A177">
        <v>0.86499999999999999</v>
      </c>
      <c r="B177">
        <v>5.2</v>
      </c>
      <c r="C177">
        <v>4.42</v>
      </c>
      <c r="L177">
        <v>0.86499999999999999</v>
      </c>
    </row>
    <row r="178" spans="1:12" x14ac:dyDescent="0.25">
      <c r="A178">
        <v>0.87</v>
      </c>
      <c r="B178">
        <v>5.23</v>
      </c>
      <c r="C178">
        <v>4.45</v>
      </c>
      <c r="L178">
        <v>0.87</v>
      </c>
    </row>
    <row r="179" spans="1:12" x14ac:dyDescent="0.25">
      <c r="A179">
        <v>0.875</v>
      </c>
      <c r="B179">
        <v>5.27</v>
      </c>
      <c r="C179">
        <v>4.4800000000000004</v>
      </c>
      <c r="L179">
        <v>0.875</v>
      </c>
    </row>
    <row r="180" spans="1:12" x14ac:dyDescent="0.25">
      <c r="A180">
        <v>0.88</v>
      </c>
      <c r="B180">
        <v>5.3</v>
      </c>
      <c r="C180">
        <v>4.51</v>
      </c>
      <c r="L180">
        <v>0.88</v>
      </c>
    </row>
    <row r="181" spans="1:12" x14ac:dyDescent="0.25">
      <c r="A181">
        <v>0.88500000000000001</v>
      </c>
      <c r="B181">
        <v>5.33</v>
      </c>
      <c r="C181">
        <v>4.53</v>
      </c>
      <c r="L181">
        <v>0.88500000000000001</v>
      </c>
    </row>
    <row r="182" spans="1:12" x14ac:dyDescent="0.25">
      <c r="A182">
        <v>0.89</v>
      </c>
      <c r="B182">
        <v>5.37</v>
      </c>
      <c r="C182">
        <v>4.5599999999999996</v>
      </c>
      <c r="L182">
        <v>0.89</v>
      </c>
    </row>
    <row r="183" spans="1:12" x14ac:dyDescent="0.25">
      <c r="A183">
        <v>0.89500000000000002</v>
      </c>
      <c r="B183">
        <v>5.4</v>
      </c>
      <c r="C183">
        <v>4.59</v>
      </c>
      <c r="L183">
        <v>0.89500000000000002</v>
      </c>
    </row>
    <row r="184" spans="1:12" x14ac:dyDescent="0.25">
      <c r="A184">
        <v>0.9</v>
      </c>
      <c r="B184">
        <v>5.44</v>
      </c>
      <c r="C184">
        <v>4.62</v>
      </c>
      <c r="D184" s="12">
        <v>-0.19000000000000039</v>
      </c>
      <c r="F184" s="12"/>
      <c r="L184">
        <v>0.9</v>
      </c>
    </row>
    <row r="185" spans="1:12" x14ac:dyDescent="0.25">
      <c r="A185">
        <v>0.90500000000000003</v>
      </c>
      <c r="B185">
        <v>5.47</v>
      </c>
      <c r="C185">
        <v>4.6500000000000004</v>
      </c>
      <c r="L185">
        <v>0.90500000000000003</v>
      </c>
    </row>
    <row r="186" spans="1:12" x14ac:dyDescent="0.25">
      <c r="A186">
        <v>0.91</v>
      </c>
      <c r="B186">
        <v>5.5</v>
      </c>
      <c r="C186">
        <v>4.68</v>
      </c>
      <c r="L186">
        <v>0.91</v>
      </c>
    </row>
    <row r="187" spans="1:12" x14ac:dyDescent="0.25">
      <c r="A187">
        <v>0.91500000000000004</v>
      </c>
      <c r="B187">
        <v>5.54</v>
      </c>
      <c r="C187">
        <v>4.71</v>
      </c>
      <c r="L187">
        <v>0.91500000000000004</v>
      </c>
    </row>
    <row r="188" spans="1:12" x14ac:dyDescent="0.25">
      <c r="A188">
        <v>0.92</v>
      </c>
      <c r="B188">
        <v>5.57</v>
      </c>
      <c r="C188">
        <v>4.74</v>
      </c>
      <c r="L188">
        <v>0.92</v>
      </c>
    </row>
    <row r="189" spans="1:12" x14ac:dyDescent="0.25">
      <c r="A189">
        <v>0.92500000000000004</v>
      </c>
      <c r="B189">
        <v>5.6</v>
      </c>
      <c r="C189">
        <v>4.76</v>
      </c>
      <c r="L189">
        <v>0.92500000000000004</v>
      </c>
    </row>
    <row r="190" spans="1:12" x14ac:dyDescent="0.25">
      <c r="A190">
        <v>0.93</v>
      </c>
      <c r="B190">
        <v>5.64</v>
      </c>
      <c r="C190">
        <v>4.79</v>
      </c>
      <c r="L190">
        <v>0.93</v>
      </c>
    </row>
    <row r="191" spans="1:12" x14ac:dyDescent="0.25">
      <c r="A191">
        <v>0.93500000000000005</v>
      </c>
      <c r="B191">
        <v>5.67</v>
      </c>
      <c r="C191">
        <v>4.82</v>
      </c>
      <c r="L191">
        <v>0.93500000000000005</v>
      </c>
    </row>
    <row r="192" spans="1:12" x14ac:dyDescent="0.25">
      <c r="A192">
        <v>0.94</v>
      </c>
      <c r="B192">
        <v>5.71</v>
      </c>
      <c r="C192">
        <v>4.8499999999999996</v>
      </c>
      <c r="L192">
        <v>0.94</v>
      </c>
    </row>
    <row r="193" spans="1:12" x14ac:dyDescent="0.25">
      <c r="A193">
        <v>0.94499999999999995</v>
      </c>
      <c r="B193">
        <v>5.74</v>
      </c>
      <c r="C193">
        <v>4.88</v>
      </c>
      <c r="L193">
        <v>0.94499999999999995</v>
      </c>
    </row>
    <row r="194" spans="1:12" x14ac:dyDescent="0.25">
      <c r="A194">
        <v>0.95</v>
      </c>
      <c r="B194">
        <v>5.77</v>
      </c>
      <c r="C194">
        <v>4.91</v>
      </c>
      <c r="L194">
        <v>0.95</v>
      </c>
    </row>
    <row r="195" spans="1:12" x14ac:dyDescent="0.25">
      <c r="A195">
        <v>0.95499999999999996</v>
      </c>
      <c r="B195">
        <v>5.81</v>
      </c>
      <c r="C195">
        <v>4.9400000000000004</v>
      </c>
      <c r="L195">
        <v>0.95499999999999996</v>
      </c>
    </row>
    <row r="196" spans="1:12" x14ac:dyDescent="0.25">
      <c r="A196">
        <v>0.96</v>
      </c>
      <c r="B196">
        <v>5.84</v>
      </c>
      <c r="C196">
        <v>4.96</v>
      </c>
      <c r="L196">
        <v>0.96</v>
      </c>
    </row>
    <row r="197" spans="1:12" x14ac:dyDescent="0.25">
      <c r="A197">
        <v>0.96499999999999997</v>
      </c>
      <c r="B197">
        <v>5.87</v>
      </c>
      <c r="C197">
        <v>4.99</v>
      </c>
      <c r="L197">
        <v>0.96499999999999997</v>
      </c>
    </row>
    <row r="198" spans="1:12" x14ac:dyDescent="0.25">
      <c r="A198">
        <v>0.97</v>
      </c>
      <c r="B198">
        <v>5.91</v>
      </c>
      <c r="C198">
        <v>5.0199999999999996</v>
      </c>
      <c r="L198">
        <v>0.97</v>
      </c>
    </row>
    <row r="199" spans="1:12" x14ac:dyDescent="0.25">
      <c r="A199">
        <v>0.97499999999999998</v>
      </c>
      <c r="B199">
        <v>5.94</v>
      </c>
      <c r="C199">
        <v>5.05</v>
      </c>
      <c r="L199">
        <v>0.97499999999999998</v>
      </c>
    </row>
    <row r="200" spans="1:12" x14ac:dyDescent="0.25">
      <c r="A200">
        <v>0.98</v>
      </c>
      <c r="B200">
        <v>5.98</v>
      </c>
      <c r="C200">
        <v>5.08</v>
      </c>
      <c r="L200">
        <v>0.98</v>
      </c>
    </row>
    <row r="201" spans="1:12" x14ac:dyDescent="0.25">
      <c r="A201">
        <v>0.98499999999999999</v>
      </c>
      <c r="B201">
        <v>6.01</v>
      </c>
      <c r="C201">
        <v>5.1100000000000003</v>
      </c>
      <c r="L201">
        <v>0.98499999999999999</v>
      </c>
    </row>
    <row r="202" spans="1:12" x14ac:dyDescent="0.25">
      <c r="A202">
        <v>0.99</v>
      </c>
      <c r="B202">
        <v>6.04</v>
      </c>
      <c r="C202">
        <v>5.14</v>
      </c>
      <c r="L202">
        <v>0.99</v>
      </c>
    </row>
    <row r="203" spans="1:12" x14ac:dyDescent="0.25">
      <c r="A203">
        <v>0.995</v>
      </c>
      <c r="B203">
        <v>6.08</v>
      </c>
      <c r="C203">
        <v>5.17</v>
      </c>
      <c r="L203">
        <v>0.995</v>
      </c>
    </row>
    <row r="204" spans="1:12" x14ac:dyDescent="0.25">
      <c r="A204">
        <v>1</v>
      </c>
      <c r="B204">
        <v>6.11</v>
      </c>
      <c r="C204">
        <v>5.19</v>
      </c>
      <c r="D204" s="12">
        <v>-0.11000000000000032</v>
      </c>
      <c r="F204" s="12"/>
      <c r="L204">
        <v>1</v>
      </c>
    </row>
    <row r="205" spans="1:12" x14ac:dyDescent="0.25">
      <c r="A205">
        <v>1.0049999999999999</v>
      </c>
      <c r="B205">
        <v>6.14</v>
      </c>
      <c r="C205">
        <v>5.22</v>
      </c>
      <c r="L205">
        <v>1.0049999999999999</v>
      </c>
    </row>
    <row r="206" spans="1:12" x14ac:dyDescent="0.25">
      <c r="A206">
        <v>1.01</v>
      </c>
      <c r="B206">
        <v>6.18</v>
      </c>
      <c r="C206">
        <v>5.25</v>
      </c>
      <c r="L206">
        <v>1.01</v>
      </c>
    </row>
    <row r="207" spans="1:12" x14ac:dyDescent="0.25">
      <c r="A207">
        <v>1.0149999999999999</v>
      </c>
      <c r="B207">
        <v>6.21</v>
      </c>
      <c r="C207">
        <v>5.28</v>
      </c>
      <c r="L207">
        <v>1.0149999999999999</v>
      </c>
    </row>
    <row r="208" spans="1:12" x14ac:dyDescent="0.25">
      <c r="A208">
        <v>1.02</v>
      </c>
      <c r="B208">
        <v>6.25</v>
      </c>
      <c r="C208">
        <v>5.31</v>
      </c>
      <c r="L208">
        <v>1.02</v>
      </c>
    </row>
    <row r="209" spans="1:12" x14ac:dyDescent="0.25">
      <c r="A209">
        <v>1.0249999999999999</v>
      </c>
      <c r="B209">
        <v>6.28</v>
      </c>
      <c r="C209">
        <v>5.34</v>
      </c>
      <c r="L209">
        <v>1.0249999999999999</v>
      </c>
    </row>
    <row r="210" spans="1:12" x14ac:dyDescent="0.25">
      <c r="A210">
        <v>1.03</v>
      </c>
      <c r="B210">
        <v>6.31</v>
      </c>
      <c r="C210">
        <v>5.37</v>
      </c>
      <c r="L210">
        <v>1.03</v>
      </c>
    </row>
    <row r="211" spans="1:12" x14ac:dyDescent="0.25">
      <c r="A211">
        <v>1.0349999999999999</v>
      </c>
      <c r="B211">
        <v>6.35</v>
      </c>
      <c r="C211">
        <v>5.39</v>
      </c>
      <c r="L211">
        <v>1.0349999999999999</v>
      </c>
    </row>
    <row r="212" spans="1:12" x14ac:dyDescent="0.25">
      <c r="A212">
        <v>1.04</v>
      </c>
      <c r="B212">
        <v>6.38</v>
      </c>
      <c r="C212">
        <v>5.42</v>
      </c>
      <c r="L212">
        <v>1.04</v>
      </c>
    </row>
    <row r="213" spans="1:12" x14ac:dyDescent="0.25">
      <c r="A213">
        <v>1.0449999999999999</v>
      </c>
      <c r="B213">
        <v>6.41</v>
      </c>
      <c r="C213">
        <v>5.45</v>
      </c>
      <c r="L213">
        <v>1.0449999999999999</v>
      </c>
    </row>
    <row r="214" spans="1:12" x14ac:dyDescent="0.25">
      <c r="A214">
        <v>1.05</v>
      </c>
      <c r="B214">
        <v>6.45</v>
      </c>
      <c r="C214">
        <v>5.48</v>
      </c>
      <c r="L214">
        <v>1.05</v>
      </c>
    </row>
    <row r="215" spans="1:12" x14ac:dyDescent="0.25">
      <c r="A215">
        <v>1.0549999999999999</v>
      </c>
      <c r="B215">
        <v>6.48</v>
      </c>
      <c r="C215">
        <v>5.51</v>
      </c>
      <c r="L215">
        <v>1.0549999999999999</v>
      </c>
    </row>
    <row r="216" spans="1:12" x14ac:dyDescent="0.25">
      <c r="A216">
        <v>1.06</v>
      </c>
      <c r="B216">
        <v>6.52</v>
      </c>
      <c r="C216">
        <v>5.54</v>
      </c>
      <c r="L216">
        <v>1.06</v>
      </c>
    </row>
    <row r="217" spans="1:12" x14ac:dyDescent="0.25">
      <c r="A217">
        <v>1.0649999999999999</v>
      </c>
      <c r="B217">
        <v>6.55</v>
      </c>
      <c r="C217">
        <v>5.57</v>
      </c>
      <c r="L217">
        <v>1.0649999999999999</v>
      </c>
    </row>
    <row r="218" spans="1:12" x14ac:dyDescent="0.25">
      <c r="A218">
        <v>1.07</v>
      </c>
      <c r="B218">
        <v>6.58</v>
      </c>
      <c r="C218">
        <v>5.6</v>
      </c>
      <c r="L218">
        <v>1.07</v>
      </c>
    </row>
    <row r="219" spans="1:12" x14ac:dyDescent="0.25">
      <c r="A219">
        <v>1.075</v>
      </c>
      <c r="B219">
        <v>6.62</v>
      </c>
      <c r="C219">
        <v>5.62</v>
      </c>
      <c r="L219">
        <v>1.075</v>
      </c>
    </row>
    <row r="220" spans="1:12" x14ac:dyDescent="0.25">
      <c r="A220">
        <v>1.08</v>
      </c>
      <c r="B220">
        <v>6.65</v>
      </c>
      <c r="C220">
        <v>5.65</v>
      </c>
      <c r="L220">
        <v>1.08</v>
      </c>
    </row>
    <row r="221" spans="1:12" x14ac:dyDescent="0.25">
      <c r="A221">
        <v>1.085</v>
      </c>
      <c r="B221">
        <v>6.68</v>
      </c>
      <c r="C221">
        <v>5.68</v>
      </c>
      <c r="L221">
        <v>1.085</v>
      </c>
    </row>
    <row r="222" spans="1:12" x14ac:dyDescent="0.25">
      <c r="A222">
        <v>1.0900000000000001</v>
      </c>
      <c r="B222">
        <v>6.72</v>
      </c>
      <c r="C222">
        <v>5.71</v>
      </c>
      <c r="L222">
        <v>1.0900000000000001</v>
      </c>
    </row>
    <row r="223" spans="1:12" x14ac:dyDescent="0.25">
      <c r="A223">
        <v>1.095</v>
      </c>
      <c r="B223">
        <v>6.75</v>
      </c>
      <c r="C223">
        <v>5.74</v>
      </c>
      <c r="L223">
        <v>1.095</v>
      </c>
    </row>
    <row r="224" spans="1:12" x14ac:dyDescent="0.25">
      <c r="A224">
        <v>1.1000000000000001</v>
      </c>
      <c r="B224">
        <v>6.79</v>
      </c>
      <c r="C224">
        <v>5.77</v>
      </c>
      <c r="D224" s="12">
        <v>-0.29000000000000004</v>
      </c>
      <c r="F224" s="12"/>
      <c r="L224">
        <v>1.1000000000000001</v>
      </c>
    </row>
    <row r="225" spans="1:12" x14ac:dyDescent="0.25">
      <c r="A225">
        <v>1.105</v>
      </c>
      <c r="B225">
        <v>6.82</v>
      </c>
      <c r="C225">
        <v>5.8</v>
      </c>
      <c r="L225">
        <v>1.105</v>
      </c>
    </row>
    <row r="226" spans="1:12" x14ac:dyDescent="0.25">
      <c r="A226">
        <v>1.1100000000000001</v>
      </c>
      <c r="B226">
        <v>6.85</v>
      </c>
      <c r="C226">
        <v>5.83</v>
      </c>
      <c r="L226">
        <v>1.1100000000000001</v>
      </c>
    </row>
    <row r="227" spans="1:12" x14ac:dyDescent="0.25">
      <c r="A227">
        <v>1.115</v>
      </c>
      <c r="B227">
        <v>6.89</v>
      </c>
      <c r="C227">
        <v>5.85</v>
      </c>
      <c r="L227">
        <v>1.115</v>
      </c>
    </row>
    <row r="228" spans="1:12" x14ac:dyDescent="0.25">
      <c r="A228">
        <v>1.1200000000000001</v>
      </c>
      <c r="B228">
        <v>6.92</v>
      </c>
      <c r="C228">
        <v>5.88</v>
      </c>
      <c r="L228">
        <v>1.1200000000000001</v>
      </c>
    </row>
    <row r="229" spans="1:12" x14ac:dyDescent="0.25">
      <c r="A229">
        <v>1.125</v>
      </c>
      <c r="B229">
        <v>6.95</v>
      </c>
      <c r="C229">
        <v>5.91</v>
      </c>
      <c r="L229">
        <v>1.125</v>
      </c>
    </row>
    <row r="230" spans="1:12" x14ac:dyDescent="0.25">
      <c r="A230">
        <v>1.1299999999999999</v>
      </c>
      <c r="B230">
        <v>6.99</v>
      </c>
      <c r="C230">
        <v>5.94</v>
      </c>
      <c r="L230">
        <v>1.1299999999999999</v>
      </c>
    </row>
    <row r="231" spans="1:12" x14ac:dyDescent="0.25">
      <c r="A231">
        <v>1.135</v>
      </c>
      <c r="B231">
        <v>7.02</v>
      </c>
      <c r="C231">
        <v>5.97</v>
      </c>
      <c r="L231">
        <v>1.135</v>
      </c>
    </row>
    <row r="232" spans="1:12" x14ac:dyDescent="0.25">
      <c r="A232">
        <v>1.1399999999999999</v>
      </c>
      <c r="B232">
        <v>7.06</v>
      </c>
      <c r="C232">
        <v>6</v>
      </c>
      <c r="L232">
        <v>1.1399999999999999</v>
      </c>
    </row>
    <row r="233" spans="1:12" x14ac:dyDescent="0.25">
      <c r="A233">
        <v>1.145</v>
      </c>
      <c r="B233">
        <v>7.09</v>
      </c>
      <c r="C233">
        <v>6.03</v>
      </c>
      <c r="L233">
        <v>1.145</v>
      </c>
    </row>
    <row r="234" spans="1:12" x14ac:dyDescent="0.25">
      <c r="A234">
        <v>1.1499999999999999</v>
      </c>
      <c r="B234">
        <v>7.12</v>
      </c>
      <c r="C234">
        <v>6.05</v>
      </c>
      <c r="L234">
        <v>1.1499999999999999</v>
      </c>
    </row>
    <row r="235" spans="1:12" x14ac:dyDescent="0.25">
      <c r="A235">
        <v>1.155</v>
      </c>
      <c r="B235">
        <v>7.16</v>
      </c>
      <c r="C235">
        <v>6.08</v>
      </c>
      <c r="L235">
        <v>1.155</v>
      </c>
    </row>
    <row r="236" spans="1:12" x14ac:dyDescent="0.25">
      <c r="A236">
        <v>1.1599999999999999</v>
      </c>
      <c r="B236">
        <v>7.19</v>
      </c>
      <c r="C236">
        <v>6.11</v>
      </c>
      <c r="L236">
        <v>1.1599999999999999</v>
      </c>
    </row>
    <row r="237" spans="1:12" x14ac:dyDescent="0.25">
      <c r="A237">
        <v>1.165</v>
      </c>
      <c r="B237">
        <v>7.22</v>
      </c>
      <c r="C237">
        <v>6.14</v>
      </c>
      <c r="L237">
        <v>1.165</v>
      </c>
    </row>
    <row r="238" spans="1:12" x14ac:dyDescent="0.25">
      <c r="A238">
        <v>1.17</v>
      </c>
      <c r="B238">
        <v>7.26</v>
      </c>
      <c r="C238">
        <v>6.17</v>
      </c>
      <c r="L238">
        <v>1.17</v>
      </c>
    </row>
    <row r="239" spans="1:12" x14ac:dyDescent="0.25">
      <c r="A239">
        <v>1.175</v>
      </c>
      <c r="B239">
        <v>7.29</v>
      </c>
      <c r="C239">
        <v>6.2</v>
      </c>
      <c r="L239">
        <v>1.175</v>
      </c>
    </row>
    <row r="240" spans="1:12" x14ac:dyDescent="0.25">
      <c r="A240">
        <v>1.18</v>
      </c>
      <c r="B240">
        <v>7.33</v>
      </c>
      <c r="C240">
        <v>6.23</v>
      </c>
      <c r="L240">
        <v>1.18</v>
      </c>
    </row>
    <row r="241" spans="1:12" x14ac:dyDescent="0.25">
      <c r="A241">
        <v>1.1850000000000001</v>
      </c>
      <c r="B241">
        <v>7.36</v>
      </c>
      <c r="C241">
        <v>6.26</v>
      </c>
      <c r="L241">
        <v>1.1850000000000001</v>
      </c>
    </row>
    <row r="242" spans="1:12" x14ac:dyDescent="0.25">
      <c r="A242">
        <v>1.19</v>
      </c>
      <c r="B242">
        <v>7.39</v>
      </c>
      <c r="C242">
        <v>6.28</v>
      </c>
      <c r="L242">
        <v>1.19</v>
      </c>
    </row>
    <row r="243" spans="1:12" x14ac:dyDescent="0.25">
      <c r="A243">
        <v>1.1950000000000001</v>
      </c>
      <c r="B243">
        <v>7.43</v>
      </c>
      <c r="C243">
        <v>6.31</v>
      </c>
      <c r="L243">
        <v>1.1950000000000001</v>
      </c>
    </row>
    <row r="244" spans="1:12" x14ac:dyDescent="0.25">
      <c r="A244">
        <v>1.2</v>
      </c>
      <c r="B244">
        <v>7.46</v>
      </c>
      <c r="C244">
        <v>6.34</v>
      </c>
      <c r="D244" s="12">
        <v>-0.11000000000000032</v>
      </c>
      <c r="F244" s="12"/>
      <c r="L244">
        <v>1.2</v>
      </c>
    </row>
    <row r="245" spans="1:12" x14ac:dyDescent="0.25">
      <c r="A245">
        <v>1.2050000000000001</v>
      </c>
      <c r="B245">
        <v>7.49</v>
      </c>
      <c r="C245">
        <v>6.37</v>
      </c>
      <c r="L245">
        <v>1.2050000000000001</v>
      </c>
    </row>
    <row r="246" spans="1:12" x14ac:dyDescent="0.25">
      <c r="A246">
        <v>1.21</v>
      </c>
      <c r="B246">
        <v>7.53</v>
      </c>
      <c r="C246">
        <v>6.4</v>
      </c>
      <c r="L246">
        <v>1.21</v>
      </c>
    </row>
    <row r="247" spans="1:12" x14ac:dyDescent="0.25">
      <c r="A247">
        <v>1.2150000000000001</v>
      </c>
      <c r="B247">
        <v>7.56</v>
      </c>
      <c r="C247">
        <v>6.43</v>
      </c>
      <c r="L247">
        <v>1.2150000000000001</v>
      </c>
    </row>
    <row r="248" spans="1:12" x14ac:dyDescent="0.25">
      <c r="A248">
        <v>1.22</v>
      </c>
      <c r="B248">
        <v>7.6</v>
      </c>
      <c r="C248">
        <v>6.46</v>
      </c>
      <c r="L248">
        <v>1.22</v>
      </c>
    </row>
    <row r="249" spans="1:12" x14ac:dyDescent="0.25">
      <c r="A249">
        <v>1.2250000000000001</v>
      </c>
      <c r="B249">
        <v>7.63</v>
      </c>
      <c r="C249">
        <v>6.48</v>
      </c>
      <c r="L249">
        <v>1.2250000000000001</v>
      </c>
    </row>
    <row r="250" spans="1:12" x14ac:dyDescent="0.25">
      <c r="A250">
        <v>1.23</v>
      </c>
      <c r="B250">
        <v>7.66</v>
      </c>
      <c r="C250">
        <v>6.51</v>
      </c>
      <c r="L250">
        <v>1.23</v>
      </c>
    </row>
    <row r="251" spans="1:12" x14ac:dyDescent="0.25">
      <c r="A251">
        <v>1.2350000000000001</v>
      </c>
      <c r="B251">
        <v>7.7</v>
      </c>
      <c r="C251">
        <v>6.54</v>
      </c>
      <c r="L251">
        <v>1.2350000000000001</v>
      </c>
    </row>
    <row r="252" spans="1:12" x14ac:dyDescent="0.25">
      <c r="A252">
        <v>1.24</v>
      </c>
      <c r="B252">
        <v>7.73</v>
      </c>
      <c r="C252">
        <v>6.57</v>
      </c>
      <c r="L252">
        <v>1.24</v>
      </c>
    </row>
    <row r="253" spans="1:12" x14ac:dyDescent="0.25">
      <c r="A253">
        <v>1.2450000000000001</v>
      </c>
      <c r="B253">
        <v>7.76</v>
      </c>
      <c r="C253">
        <v>6.6</v>
      </c>
      <c r="L253">
        <v>1.2450000000000001</v>
      </c>
    </row>
    <row r="254" spans="1:12" x14ac:dyDescent="0.25">
      <c r="A254">
        <v>1.25</v>
      </c>
      <c r="B254">
        <v>7.8</v>
      </c>
      <c r="C254">
        <v>6.63</v>
      </c>
      <c r="L254">
        <v>1.25</v>
      </c>
    </row>
    <row r="255" spans="1:12" x14ac:dyDescent="0.25">
      <c r="A255">
        <v>1.2549999999999999</v>
      </c>
      <c r="B255">
        <v>7.83</v>
      </c>
      <c r="C255">
        <v>6.66</v>
      </c>
      <c r="L255">
        <v>1.2549999999999999</v>
      </c>
    </row>
    <row r="256" spans="1:12" x14ac:dyDescent="0.25">
      <c r="A256">
        <v>1.26</v>
      </c>
      <c r="B256">
        <v>7.87</v>
      </c>
      <c r="C256">
        <v>6.69</v>
      </c>
      <c r="L256">
        <v>1.26</v>
      </c>
    </row>
    <row r="257" spans="1:12" x14ac:dyDescent="0.25">
      <c r="A257">
        <v>1.2649999999999999</v>
      </c>
      <c r="B257">
        <v>7.9</v>
      </c>
      <c r="C257">
        <v>6.71</v>
      </c>
      <c r="L257">
        <v>1.2649999999999999</v>
      </c>
    </row>
    <row r="258" spans="1:12" x14ac:dyDescent="0.25">
      <c r="A258">
        <v>1.27</v>
      </c>
      <c r="B258">
        <v>7.93</v>
      </c>
      <c r="C258">
        <v>6.74</v>
      </c>
      <c r="L258">
        <v>1.27</v>
      </c>
    </row>
    <row r="259" spans="1:12" x14ac:dyDescent="0.25">
      <c r="A259">
        <v>1.2749999999999999</v>
      </c>
      <c r="B259">
        <v>7.97</v>
      </c>
      <c r="C259">
        <v>6.77</v>
      </c>
      <c r="L259">
        <v>1.2749999999999999</v>
      </c>
    </row>
    <row r="260" spans="1:12" x14ac:dyDescent="0.25">
      <c r="A260">
        <v>1.28</v>
      </c>
      <c r="B260">
        <v>8</v>
      </c>
      <c r="C260">
        <v>6.8</v>
      </c>
      <c r="L260">
        <v>1.28</v>
      </c>
    </row>
    <row r="261" spans="1:12" x14ac:dyDescent="0.25">
      <c r="A261">
        <v>1.2849999999999999</v>
      </c>
      <c r="B261">
        <v>8.0299999999999994</v>
      </c>
      <c r="C261">
        <v>6.83</v>
      </c>
      <c r="L261">
        <v>1.2849999999999999</v>
      </c>
    </row>
    <row r="262" spans="1:12" x14ac:dyDescent="0.25">
      <c r="A262">
        <v>1.29</v>
      </c>
      <c r="B262">
        <v>8.07</v>
      </c>
      <c r="C262">
        <v>6.86</v>
      </c>
      <c r="L262">
        <v>1.29</v>
      </c>
    </row>
    <row r="263" spans="1:12" x14ac:dyDescent="0.25">
      <c r="A263">
        <v>1.2949999999999999</v>
      </c>
      <c r="B263">
        <v>8.1</v>
      </c>
      <c r="C263">
        <v>6.89</v>
      </c>
      <c r="L263">
        <v>1.2949999999999999</v>
      </c>
    </row>
    <row r="264" spans="1:12" x14ac:dyDescent="0.25">
      <c r="A264">
        <v>1.3</v>
      </c>
      <c r="B264">
        <v>8.14</v>
      </c>
      <c r="C264">
        <v>6.92</v>
      </c>
      <c r="D264" s="12">
        <v>-0.14000000000000057</v>
      </c>
      <c r="F264" s="12"/>
      <c r="L264">
        <v>1.3</v>
      </c>
    </row>
    <row r="265" spans="1:12" x14ac:dyDescent="0.25">
      <c r="A265">
        <v>1.3049999999999999</v>
      </c>
      <c r="B265">
        <v>8.17</v>
      </c>
      <c r="C265">
        <v>6.94</v>
      </c>
      <c r="L265">
        <v>1.3049999999999999</v>
      </c>
    </row>
    <row r="266" spans="1:12" x14ac:dyDescent="0.25">
      <c r="A266">
        <v>1.31</v>
      </c>
      <c r="B266">
        <v>8.1999999999999993</v>
      </c>
      <c r="C266">
        <v>6.97</v>
      </c>
      <c r="L266">
        <v>1.31</v>
      </c>
    </row>
    <row r="267" spans="1:12" x14ac:dyDescent="0.25">
      <c r="A267">
        <v>1.3149999999999999</v>
      </c>
      <c r="B267">
        <v>8.24</v>
      </c>
      <c r="C267">
        <v>7</v>
      </c>
      <c r="L267">
        <v>1.3149999999999999</v>
      </c>
    </row>
    <row r="268" spans="1:12" x14ac:dyDescent="0.25">
      <c r="A268">
        <v>1.32</v>
      </c>
      <c r="B268">
        <v>8.27</v>
      </c>
      <c r="C268">
        <v>7.03</v>
      </c>
      <c r="L268">
        <v>1.32</v>
      </c>
    </row>
    <row r="269" spans="1:12" x14ac:dyDescent="0.25">
      <c r="A269">
        <v>1.325</v>
      </c>
      <c r="B269">
        <v>8.3000000000000007</v>
      </c>
      <c r="C269">
        <v>7.06</v>
      </c>
      <c r="L269">
        <v>1.325</v>
      </c>
    </row>
    <row r="270" spans="1:12" x14ac:dyDescent="0.25">
      <c r="A270">
        <v>1.33</v>
      </c>
      <c r="B270">
        <v>8.34</v>
      </c>
      <c r="C270">
        <v>7.09</v>
      </c>
      <c r="L270">
        <v>1.33</v>
      </c>
    </row>
    <row r="271" spans="1:12" x14ac:dyDescent="0.25">
      <c r="A271">
        <v>1.335</v>
      </c>
      <c r="B271">
        <v>8.3699999999999992</v>
      </c>
      <c r="C271">
        <v>7.12</v>
      </c>
      <c r="L271">
        <v>1.335</v>
      </c>
    </row>
    <row r="272" spans="1:12" x14ac:dyDescent="0.25">
      <c r="A272">
        <v>1.34</v>
      </c>
      <c r="B272">
        <v>8.41</v>
      </c>
      <c r="C272">
        <v>7.14</v>
      </c>
      <c r="L272">
        <v>1.34</v>
      </c>
    </row>
    <row r="273" spans="1:12" x14ac:dyDescent="0.25">
      <c r="A273">
        <v>1.345</v>
      </c>
      <c r="B273">
        <v>8.44</v>
      </c>
      <c r="C273">
        <v>7.17</v>
      </c>
      <c r="L273">
        <v>1.345</v>
      </c>
    </row>
    <row r="274" spans="1:12" x14ac:dyDescent="0.25">
      <c r="A274">
        <v>1.35</v>
      </c>
      <c r="B274">
        <v>8.4700000000000006</v>
      </c>
      <c r="C274">
        <v>7.2</v>
      </c>
      <c r="L274">
        <v>1.35</v>
      </c>
    </row>
    <row r="275" spans="1:12" x14ac:dyDescent="0.25">
      <c r="A275">
        <v>1.355</v>
      </c>
      <c r="B275">
        <v>8.51</v>
      </c>
      <c r="C275">
        <v>7.23</v>
      </c>
      <c r="L275">
        <v>1.355</v>
      </c>
    </row>
    <row r="276" spans="1:12" x14ac:dyDescent="0.25">
      <c r="A276">
        <v>1.36</v>
      </c>
      <c r="B276">
        <v>8.5399999999999991</v>
      </c>
      <c r="C276">
        <v>7.26</v>
      </c>
      <c r="L276">
        <v>1.36</v>
      </c>
    </row>
    <row r="277" spans="1:12" x14ac:dyDescent="0.25">
      <c r="A277">
        <v>1.365</v>
      </c>
      <c r="B277">
        <v>8.57</v>
      </c>
      <c r="C277">
        <v>7.29</v>
      </c>
      <c r="L277">
        <v>1.365</v>
      </c>
    </row>
    <row r="278" spans="1:12" x14ac:dyDescent="0.25">
      <c r="A278">
        <v>1.37</v>
      </c>
      <c r="B278">
        <v>8.61</v>
      </c>
      <c r="C278">
        <v>7.32</v>
      </c>
      <c r="L278">
        <v>1.37</v>
      </c>
    </row>
    <row r="279" spans="1:12" x14ac:dyDescent="0.25">
      <c r="A279">
        <v>1.375</v>
      </c>
      <c r="B279">
        <v>8.64</v>
      </c>
      <c r="C279">
        <v>7.35</v>
      </c>
      <c r="L279">
        <v>1.375</v>
      </c>
    </row>
    <row r="280" spans="1:12" x14ac:dyDescent="0.25">
      <c r="A280">
        <v>1.38</v>
      </c>
      <c r="B280">
        <v>8.68</v>
      </c>
      <c r="C280">
        <v>7.37</v>
      </c>
      <c r="L280">
        <v>1.38</v>
      </c>
    </row>
    <row r="281" spans="1:12" x14ac:dyDescent="0.25">
      <c r="A281">
        <v>1.385</v>
      </c>
      <c r="B281">
        <v>8.7100000000000009</v>
      </c>
      <c r="C281">
        <v>7.4</v>
      </c>
      <c r="L281">
        <v>1.385</v>
      </c>
    </row>
    <row r="282" spans="1:12" x14ac:dyDescent="0.25">
      <c r="A282">
        <v>1.39</v>
      </c>
      <c r="B282">
        <v>8.74</v>
      </c>
      <c r="C282">
        <v>7.43</v>
      </c>
      <c r="L282">
        <v>1.39</v>
      </c>
    </row>
    <row r="283" spans="1:12" x14ac:dyDescent="0.25">
      <c r="A283">
        <v>1.395</v>
      </c>
      <c r="B283">
        <v>8.7799999999999994</v>
      </c>
      <c r="C283">
        <v>7.46</v>
      </c>
      <c r="L283">
        <v>1.395</v>
      </c>
    </row>
    <row r="284" spans="1:12" x14ac:dyDescent="0.25">
      <c r="A284">
        <v>1.4</v>
      </c>
      <c r="B284">
        <v>8.81</v>
      </c>
      <c r="C284">
        <v>7.49</v>
      </c>
      <c r="D284" s="12">
        <v>0.1899999999999995</v>
      </c>
      <c r="F284" s="12"/>
      <c r="L284">
        <v>1.4</v>
      </c>
    </row>
    <row r="285" spans="1:12" x14ac:dyDescent="0.25">
      <c r="A285">
        <v>1.405</v>
      </c>
      <c r="B285">
        <v>8.84</v>
      </c>
      <c r="C285">
        <v>7.52</v>
      </c>
      <c r="L285">
        <v>1.405</v>
      </c>
    </row>
    <row r="286" spans="1:12" x14ac:dyDescent="0.25">
      <c r="A286">
        <v>1.41</v>
      </c>
      <c r="B286">
        <v>8.8800000000000008</v>
      </c>
      <c r="C286">
        <v>7.55</v>
      </c>
      <c r="L286">
        <v>1.41</v>
      </c>
    </row>
    <row r="287" spans="1:12" x14ac:dyDescent="0.25">
      <c r="A287">
        <v>1.415</v>
      </c>
      <c r="B287">
        <v>8.91</v>
      </c>
      <c r="C287">
        <v>7.58</v>
      </c>
      <c r="L287">
        <v>1.415</v>
      </c>
    </row>
    <row r="288" spans="1:12" x14ac:dyDescent="0.25">
      <c r="A288">
        <v>1.42</v>
      </c>
      <c r="B288">
        <v>8.9499999999999993</v>
      </c>
      <c r="C288">
        <v>7.6</v>
      </c>
      <c r="L288">
        <v>1.42</v>
      </c>
    </row>
    <row r="289" spans="1:12" x14ac:dyDescent="0.25">
      <c r="A289">
        <v>1.425</v>
      </c>
      <c r="B289">
        <v>8.98</v>
      </c>
      <c r="C289">
        <v>7.63</v>
      </c>
      <c r="L289">
        <v>1.425</v>
      </c>
    </row>
    <row r="290" spans="1:12" x14ac:dyDescent="0.25">
      <c r="A290">
        <v>1.43</v>
      </c>
      <c r="B290">
        <v>9.01</v>
      </c>
      <c r="C290">
        <v>7.66</v>
      </c>
      <c r="L290">
        <v>1.43</v>
      </c>
    </row>
    <row r="291" spans="1:12" x14ac:dyDescent="0.25">
      <c r="A291">
        <v>1.4350000000000001</v>
      </c>
      <c r="B291">
        <v>9.0500000000000007</v>
      </c>
      <c r="C291">
        <v>7.69</v>
      </c>
      <c r="L291">
        <v>1.4350000000000001</v>
      </c>
    </row>
    <row r="292" spans="1:12" x14ac:dyDescent="0.25">
      <c r="A292">
        <v>1.44</v>
      </c>
      <c r="B292">
        <v>9.08</v>
      </c>
      <c r="C292">
        <v>7.72</v>
      </c>
      <c r="L292">
        <v>1.44</v>
      </c>
    </row>
    <row r="293" spans="1:12" x14ac:dyDescent="0.25">
      <c r="A293">
        <v>1.4450000000000001</v>
      </c>
      <c r="B293">
        <v>9.11</v>
      </c>
      <c r="C293">
        <v>7.75</v>
      </c>
      <c r="L293">
        <v>1.4450000000000001</v>
      </c>
    </row>
    <row r="294" spans="1:12" x14ac:dyDescent="0.25">
      <c r="A294">
        <v>1.45</v>
      </c>
      <c r="B294">
        <v>9.15</v>
      </c>
      <c r="C294">
        <v>7.78</v>
      </c>
      <c r="L294">
        <v>1.45</v>
      </c>
    </row>
    <row r="295" spans="1:12" x14ac:dyDescent="0.25">
      <c r="A295">
        <v>1.4550000000000001</v>
      </c>
      <c r="B295">
        <v>9.18</v>
      </c>
      <c r="C295">
        <v>7.8</v>
      </c>
      <c r="L295">
        <v>1.4550000000000001</v>
      </c>
    </row>
    <row r="296" spans="1:12" x14ac:dyDescent="0.25">
      <c r="A296">
        <v>1.46</v>
      </c>
      <c r="B296">
        <v>9.2200000000000006</v>
      </c>
      <c r="C296">
        <v>7.83</v>
      </c>
      <c r="L296">
        <v>1.46</v>
      </c>
    </row>
    <row r="297" spans="1:12" x14ac:dyDescent="0.25">
      <c r="A297">
        <v>1.4650000000000001</v>
      </c>
      <c r="B297">
        <v>9.25</v>
      </c>
      <c r="C297">
        <v>7.86</v>
      </c>
      <c r="L297">
        <v>1.4650000000000001</v>
      </c>
    </row>
    <row r="298" spans="1:12" x14ac:dyDescent="0.25">
      <c r="A298">
        <v>1.47</v>
      </c>
      <c r="B298">
        <v>9.2799999999999994</v>
      </c>
      <c r="C298">
        <v>7.89</v>
      </c>
      <c r="L298">
        <v>1.47</v>
      </c>
    </row>
    <row r="299" spans="1:12" x14ac:dyDescent="0.25">
      <c r="A299">
        <v>1.4750000000000001</v>
      </c>
      <c r="B299">
        <v>9.32</v>
      </c>
      <c r="C299">
        <v>7.92</v>
      </c>
      <c r="L299">
        <v>1.4750000000000001</v>
      </c>
    </row>
    <row r="300" spans="1:12" x14ac:dyDescent="0.25">
      <c r="A300">
        <v>1.48</v>
      </c>
      <c r="B300">
        <v>9.35</v>
      </c>
      <c r="C300">
        <v>7.95</v>
      </c>
      <c r="L300">
        <v>1.48</v>
      </c>
    </row>
    <row r="301" spans="1:12" x14ac:dyDescent="0.25">
      <c r="A301">
        <v>1.4850000000000001</v>
      </c>
      <c r="B301">
        <v>9.3800000000000008</v>
      </c>
      <c r="C301">
        <v>7.98</v>
      </c>
      <c r="L301">
        <v>1.4850000000000001</v>
      </c>
    </row>
    <row r="302" spans="1:12" x14ac:dyDescent="0.25">
      <c r="A302">
        <v>1.49</v>
      </c>
      <c r="B302">
        <v>9.42</v>
      </c>
      <c r="C302">
        <v>8.01</v>
      </c>
      <c r="L302">
        <v>1.49</v>
      </c>
    </row>
    <row r="303" spans="1:12" x14ac:dyDescent="0.25">
      <c r="A303">
        <v>1.4950000000000001</v>
      </c>
      <c r="B303">
        <v>9.4499999999999993</v>
      </c>
      <c r="C303">
        <v>8.0299999999999994</v>
      </c>
      <c r="L303">
        <v>1.4950000000000001</v>
      </c>
    </row>
    <row r="304" spans="1:12" x14ac:dyDescent="0.25">
      <c r="A304">
        <v>1.5</v>
      </c>
      <c r="B304">
        <v>9.49</v>
      </c>
      <c r="C304">
        <v>8.06</v>
      </c>
      <c r="D304" s="12">
        <v>9.9999999999997868E-3</v>
      </c>
      <c r="F304" s="12"/>
      <c r="L304">
        <v>1.5</v>
      </c>
    </row>
    <row r="305" spans="1:12" x14ac:dyDescent="0.25">
      <c r="A305">
        <v>1.5049999999999999</v>
      </c>
      <c r="B305">
        <v>9.52</v>
      </c>
      <c r="C305">
        <v>8.09</v>
      </c>
      <c r="L305">
        <v>1.5049999999999999</v>
      </c>
    </row>
    <row r="306" spans="1:12" x14ac:dyDescent="0.25">
      <c r="A306">
        <v>1.51</v>
      </c>
      <c r="B306">
        <v>9.5500000000000007</v>
      </c>
      <c r="C306">
        <v>8.1199999999999992</v>
      </c>
      <c r="L306">
        <v>1.51</v>
      </c>
    </row>
    <row r="307" spans="1:12" x14ac:dyDescent="0.25">
      <c r="A307">
        <v>1.5149999999999999</v>
      </c>
      <c r="B307">
        <v>9.59</v>
      </c>
      <c r="C307">
        <v>8.15</v>
      </c>
      <c r="L307">
        <v>1.5149999999999999</v>
      </c>
    </row>
    <row r="308" spans="1:12" x14ac:dyDescent="0.25">
      <c r="A308">
        <v>1.52</v>
      </c>
      <c r="B308">
        <v>9.6199999999999992</v>
      </c>
      <c r="C308">
        <v>8.18</v>
      </c>
      <c r="L308">
        <v>1.52</v>
      </c>
    </row>
    <row r="309" spans="1:12" x14ac:dyDescent="0.25">
      <c r="A309">
        <v>1.5249999999999999</v>
      </c>
      <c r="B309">
        <v>9.65</v>
      </c>
      <c r="C309">
        <v>8.2100000000000009</v>
      </c>
      <c r="L309">
        <v>1.5249999999999999</v>
      </c>
    </row>
    <row r="310" spans="1:12" x14ac:dyDescent="0.25">
      <c r="A310">
        <v>1.53</v>
      </c>
      <c r="B310">
        <v>9.69</v>
      </c>
      <c r="C310">
        <v>8.23</v>
      </c>
      <c r="L310">
        <v>1.53</v>
      </c>
    </row>
    <row r="311" spans="1:12" x14ac:dyDescent="0.25">
      <c r="A311">
        <v>1.5349999999999999</v>
      </c>
      <c r="B311">
        <v>9.7200000000000006</v>
      </c>
      <c r="C311">
        <v>8.26</v>
      </c>
      <c r="L311">
        <v>1.5349999999999999</v>
      </c>
    </row>
    <row r="312" spans="1:12" x14ac:dyDescent="0.25">
      <c r="A312">
        <v>1.54</v>
      </c>
      <c r="B312">
        <v>9.76</v>
      </c>
      <c r="C312">
        <v>8.2899999999999991</v>
      </c>
      <c r="L312">
        <v>1.54</v>
      </c>
    </row>
    <row r="313" spans="1:12" x14ac:dyDescent="0.25">
      <c r="A313">
        <v>1.5449999999999999</v>
      </c>
      <c r="B313">
        <v>9.7899999999999991</v>
      </c>
      <c r="C313">
        <v>8.32</v>
      </c>
      <c r="L313">
        <v>1.5449999999999999</v>
      </c>
    </row>
    <row r="314" spans="1:12" x14ac:dyDescent="0.25">
      <c r="A314">
        <v>1.55</v>
      </c>
      <c r="B314">
        <v>9.82</v>
      </c>
      <c r="C314">
        <v>8.35</v>
      </c>
      <c r="L314">
        <v>1.55</v>
      </c>
    </row>
    <row r="315" spans="1:12" x14ac:dyDescent="0.25">
      <c r="A315">
        <v>1.5549999999999999</v>
      </c>
      <c r="B315">
        <v>9.86</v>
      </c>
      <c r="C315">
        <v>8.3800000000000008</v>
      </c>
      <c r="L315">
        <v>1.5549999999999999</v>
      </c>
    </row>
    <row r="316" spans="1:12" x14ac:dyDescent="0.25">
      <c r="A316">
        <v>1.56</v>
      </c>
      <c r="B316">
        <v>9.89</v>
      </c>
      <c r="C316">
        <v>8.41</v>
      </c>
      <c r="L316">
        <v>1.56</v>
      </c>
    </row>
    <row r="317" spans="1:12" x14ac:dyDescent="0.25">
      <c r="A317">
        <v>1.5649999999999999</v>
      </c>
      <c r="B317">
        <v>9.92</v>
      </c>
      <c r="C317">
        <v>8.44</v>
      </c>
      <c r="L317">
        <v>1.5649999999999999</v>
      </c>
    </row>
    <row r="318" spans="1:12" x14ac:dyDescent="0.25">
      <c r="A318">
        <v>1.57</v>
      </c>
      <c r="B318">
        <v>9.9600000000000009</v>
      </c>
      <c r="C318">
        <v>8.4600000000000009</v>
      </c>
      <c r="L318">
        <v>1.57</v>
      </c>
    </row>
    <row r="319" spans="1:12" x14ac:dyDescent="0.25">
      <c r="A319">
        <v>1.575</v>
      </c>
      <c r="B319">
        <v>9.99</v>
      </c>
      <c r="C319">
        <v>8.49</v>
      </c>
      <c r="L319">
        <v>1.575</v>
      </c>
    </row>
    <row r="320" spans="1:12" x14ac:dyDescent="0.25">
      <c r="A320">
        <v>1.58</v>
      </c>
      <c r="B320">
        <v>10.029999999999999</v>
      </c>
      <c r="C320">
        <v>8.52</v>
      </c>
      <c r="L320">
        <v>1.58</v>
      </c>
    </row>
    <row r="321" spans="1:12" x14ac:dyDescent="0.25">
      <c r="A321">
        <v>1.585</v>
      </c>
      <c r="B321">
        <v>10.06</v>
      </c>
      <c r="C321">
        <v>8.5500000000000007</v>
      </c>
      <c r="L321">
        <v>1.585</v>
      </c>
    </row>
    <row r="322" spans="1:12" x14ac:dyDescent="0.25">
      <c r="A322">
        <v>1.59</v>
      </c>
      <c r="B322">
        <v>10.09</v>
      </c>
      <c r="C322">
        <v>8.58</v>
      </c>
      <c r="L322">
        <v>1.59</v>
      </c>
    </row>
    <row r="323" spans="1:12" x14ac:dyDescent="0.25">
      <c r="A323">
        <v>1.595</v>
      </c>
      <c r="B323">
        <v>10.130000000000001</v>
      </c>
      <c r="C323">
        <v>8.61</v>
      </c>
      <c r="L323">
        <v>1.595</v>
      </c>
    </row>
    <row r="324" spans="1:12" x14ac:dyDescent="0.25">
      <c r="A324">
        <v>1.6</v>
      </c>
      <c r="B324">
        <v>10.16</v>
      </c>
      <c r="C324">
        <v>8.64</v>
      </c>
      <c r="D324" s="12">
        <v>-0.16000000000000014</v>
      </c>
      <c r="F324" s="12"/>
      <c r="L324">
        <v>1.6</v>
      </c>
    </row>
    <row r="325" spans="1:12" x14ac:dyDescent="0.25">
      <c r="A325">
        <v>1.605</v>
      </c>
      <c r="B325">
        <v>10.19</v>
      </c>
      <c r="C325">
        <v>8.67</v>
      </c>
      <c r="L325">
        <v>1.605</v>
      </c>
    </row>
    <row r="326" spans="1:12" x14ac:dyDescent="0.25">
      <c r="A326">
        <v>1.61</v>
      </c>
      <c r="B326">
        <v>10.23</v>
      </c>
      <c r="C326">
        <v>8.69</v>
      </c>
      <c r="L326">
        <v>1.61</v>
      </c>
    </row>
    <row r="327" spans="1:12" x14ac:dyDescent="0.25">
      <c r="A327">
        <v>1.615</v>
      </c>
      <c r="B327">
        <v>10.26</v>
      </c>
      <c r="C327">
        <v>8.7200000000000006</v>
      </c>
      <c r="L327">
        <v>1.615</v>
      </c>
    </row>
    <row r="328" spans="1:12" x14ac:dyDescent="0.25">
      <c r="A328">
        <v>1.62</v>
      </c>
      <c r="B328">
        <v>10.3</v>
      </c>
      <c r="C328">
        <v>8.75</v>
      </c>
      <c r="L328">
        <v>1.62</v>
      </c>
    </row>
    <row r="329" spans="1:12" x14ac:dyDescent="0.25">
      <c r="A329">
        <v>1.625</v>
      </c>
      <c r="B329">
        <v>10.33</v>
      </c>
      <c r="C329">
        <v>8.7799999999999994</v>
      </c>
      <c r="L329">
        <v>1.625</v>
      </c>
    </row>
    <row r="330" spans="1:12" x14ac:dyDescent="0.25">
      <c r="A330">
        <v>1.63</v>
      </c>
      <c r="B330">
        <v>10.36</v>
      </c>
      <c r="C330">
        <v>8.81</v>
      </c>
      <c r="L330">
        <v>1.63</v>
      </c>
    </row>
    <row r="331" spans="1:12" x14ac:dyDescent="0.25">
      <c r="A331">
        <v>1.635</v>
      </c>
      <c r="B331">
        <v>10.4</v>
      </c>
      <c r="C331">
        <v>8.84</v>
      </c>
      <c r="L331">
        <v>1.635</v>
      </c>
    </row>
    <row r="332" spans="1:12" x14ac:dyDescent="0.25">
      <c r="A332">
        <v>1.64</v>
      </c>
      <c r="B332">
        <v>10.43</v>
      </c>
      <c r="C332">
        <v>8.8699999999999992</v>
      </c>
      <c r="L332">
        <v>1.64</v>
      </c>
    </row>
    <row r="333" spans="1:12" x14ac:dyDescent="0.25">
      <c r="A333">
        <v>1.645</v>
      </c>
      <c r="B333">
        <v>10.46</v>
      </c>
      <c r="C333">
        <v>8.89</v>
      </c>
      <c r="L333">
        <v>1.645</v>
      </c>
    </row>
    <row r="334" spans="1:12" x14ac:dyDescent="0.25">
      <c r="A334">
        <v>1.65</v>
      </c>
      <c r="B334">
        <v>10.5</v>
      </c>
      <c r="C334">
        <v>8.92</v>
      </c>
      <c r="L334">
        <v>1.65</v>
      </c>
    </row>
    <row r="335" spans="1:12" x14ac:dyDescent="0.25">
      <c r="A335">
        <v>1.655</v>
      </c>
      <c r="B335">
        <v>10.53</v>
      </c>
      <c r="C335">
        <v>8.9499999999999993</v>
      </c>
      <c r="L335">
        <v>1.655</v>
      </c>
    </row>
    <row r="336" spans="1:12" x14ac:dyDescent="0.25">
      <c r="A336">
        <v>1.66</v>
      </c>
      <c r="B336">
        <v>10.57</v>
      </c>
      <c r="C336">
        <v>8.98</v>
      </c>
      <c r="L336">
        <v>1.66</v>
      </c>
    </row>
    <row r="337" spans="1:12" x14ac:dyDescent="0.25">
      <c r="A337">
        <v>1.665</v>
      </c>
      <c r="B337">
        <v>10.6</v>
      </c>
      <c r="C337">
        <v>9.01</v>
      </c>
      <c r="L337">
        <v>1.665</v>
      </c>
    </row>
    <row r="338" spans="1:12" x14ac:dyDescent="0.25">
      <c r="A338">
        <v>1.67</v>
      </c>
      <c r="B338">
        <v>10.63</v>
      </c>
      <c r="C338">
        <v>9.0399999999999991</v>
      </c>
      <c r="L338">
        <v>1.67</v>
      </c>
    </row>
    <row r="339" spans="1:12" x14ac:dyDescent="0.25">
      <c r="A339">
        <v>1.675</v>
      </c>
      <c r="B339">
        <v>10.67</v>
      </c>
      <c r="C339">
        <v>9.07</v>
      </c>
      <c r="L339">
        <v>1.675</v>
      </c>
    </row>
    <row r="340" spans="1:12" x14ac:dyDescent="0.25">
      <c r="A340">
        <v>1.68</v>
      </c>
      <c r="B340">
        <v>10.7</v>
      </c>
      <c r="C340">
        <v>9.1</v>
      </c>
      <c r="L340">
        <v>1.68</v>
      </c>
    </row>
    <row r="341" spans="1:12" x14ac:dyDescent="0.25">
      <c r="A341">
        <v>1.6850000000000001</v>
      </c>
      <c r="B341">
        <v>10.73</v>
      </c>
      <c r="C341">
        <v>9.1199999999999992</v>
      </c>
      <c r="L341">
        <v>1.6850000000000001</v>
      </c>
    </row>
    <row r="342" spans="1:12" x14ac:dyDescent="0.25">
      <c r="A342">
        <v>1.69</v>
      </c>
      <c r="B342">
        <v>10.77</v>
      </c>
      <c r="C342">
        <v>9.15</v>
      </c>
      <c r="L342">
        <v>1.69</v>
      </c>
    </row>
    <row r="343" spans="1:12" x14ac:dyDescent="0.25">
      <c r="A343">
        <v>1.6950000000000001</v>
      </c>
      <c r="B343">
        <v>10.8</v>
      </c>
      <c r="C343">
        <v>9.18</v>
      </c>
      <c r="L343">
        <v>1.6950000000000001</v>
      </c>
    </row>
    <row r="344" spans="1:12" x14ac:dyDescent="0.25">
      <c r="A344">
        <v>1.7</v>
      </c>
      <c r="B344">
        <v>10.84</v>
      </c>
      <c r="C344">
        <v>9.2100000000000009</v>
      </c>
      <c r="D344" s="12">
        <v>0.10999999999999943</v>
      </c>
      <c r="F344" s="12"/>
      <c r="L344">
        <v>1.7</v>
      </c>
    </row>
    <row r="345" spans="1:12" x14ac:dyDescent="0.25">
      <c r="A345">
        <v>1.7050000000000001</v>
      </c>
      <c r="B345">
        <v>10.87</v>
      </c>
      <c r="C345">
        <v>9.24</v>
      </c>
      <c r="L345">
        <v>1.7050000000000001</v>
      </c>
    </row>
    <row r="346" spans="1:12" x14ac:dyDescent="0.25">
      <c r="A346">
        <v>1.71</v>
      </c>
      <c r="B346">
        <v>10.9</v>
      </c>
      <c r="C346">
        <v>9.27</v>
      </c>
      <c r="L346">
        <v>1.71</v>
      </c>
    </row>
    <row r="347" spans="1:12" x14ac:dyDescent="0.25">
      <c r="A347">
        <v>1.7150000000000001</v>
      </c>
      <c r="B347">
        <v>10.94</v>
      </c>
      <c r="C347">
        <v>9.3000000000000007</v>
      </c>
      <c r="L347">
        <v>1.7150000000000001</v>
      </c>
    </row>
    <row r="348" spans="1:12" x14ac:dyDescent="0.25">
      <c r="A348">
        <v>1.72</v>
      </c>
      <c r="B348">
        <v>10.97</v>
      </c>
      <c r="C348">
        <v>9.33</v>
      </c>
      <c r="L348">
        <v>1.72</v>
      </c>
    </row>
    <row r="349" spans="1:12" x14ac:dyDescent="0.25">
      <c r="A349">
        <v>1.7250000000000001</v>
      </c>
      <c r="B349">
        <v>11</v>
      </c>
      <c r="C349">
        <v>9.35</v>
      </c>
      <c r="L349">
        <v>1.7250000000000001</v>
      </c>
    </row>
    <row r="350" spans="1:12" x14ac:dyDescent="0.25">
      <c r="A350">
        <v>1.73</v>
      </c>
      <c r="B350">
        <v>11.04</v>
      </c>
      <c r="C350">
        <v>9.3800000000000008</v>
      </c>
      <c r="L350">
        <v>1.73</v>
      </c>
    </row>
    <row r="351" spans="1:12" x14ac:dyDescent="0.25">
      <c r="A351">
        <v>1.7350000000000001</v>
      </c>
      <c r="B351">
        <v>11.07</v>
      </c>
      <c r="C351">
        <v>9.41</v>
      </c>
      <c r="L351">
        <v>1.7350000000000001</v>
      </c>
    </row>
    <row r="352" spans="1:12" x14ac:dyDescent="0.25">
      <c r="A352">
        <v>1.74</v>
      </c>
      <c r="B352">
        <v>11.11</v>
      </c>
      <c r="C352">
        <v>9.44</v>
      </c>
      <c r="L352">
        <v>1.74</v>
      </c>
    </row>
    <row r="353" spans="1:12" x14ac:dyDescent="0.25">
      <c r="A353">
        <v>1.7450000000000001</v>
      </c>
      <c r="B353">
        <v>11.14</v>
      </c>
      <c r="C353">
        <v>9.4700000000000006</v>
      </c>
      <c r="L353">
        <v>1.7450000000000001</v>
      </c>
    </row>
    <row r="354" spans="1:12" x14ac:dyDescent="0.25">
      <c r="A354">
        <v>1.75</v>
      </c>
      <c r="B354">
        <v>11.17</v>
      </c>
      <c r="C354">
        <v>9.5</v>
      </c>
      <c r="L354">
        <v>1.75</v>
      </c>
    </row>
    <row r="355" spans="1:12" x14ac:dyDescent="0.25">
      <c r="A355">
        <v>1.7549999999999999</v>
      </c>
      <c r="B355">
        <v>11.21</v>
      </c>
      <c r="C355">
        <v>9.5299999999999994</v>
      </c>
      <c r="L355">
        <v>1.7549999999999999</v>
      </c>
    </row>
    <row r="356" spans="1:12" x14ac:dyDescent="0.25">
      <c r="A356">
        <v>1.76</v>
      </c>
      <c r="B356">
        <v>11.24</v>
      </c>
      <c r="C356">
        <v>9.5500000000000007</v>
      </c>
      <c r="L356">
        <v>1.76</v>
      </c>
    </row>
    <row r="357" spans="1:12" x14ac:dyDescent="0.25">
      <c r="A357">
        <v>1.7649999999999999</v>
      </c>
      <c r="B357">
        <v>11.27</v>
      </c>
      <c r="C357">
        <v>9.58</v>
      </c>
      <c r="L357">
        <v>1.7649999999999999</v>
      </c>
    </row>
    <row r="358" spans="1:12" x14ac:dyDescent="0.25">
      <c r="A358">
        <v>1.77</v>
      </c>
      <c r="B358">
        <v>11.31</v>
      </c>
      <c r="C358">
        <v>9.61</v>
      </c>
      <c r="L358">
        <v>1.77</v>
      </c>
    </row>
    <row r="359" spans="1:12" x14ac:dyDescent="0.25">
      <c r="A359">
        <v>1.7749999999999999</v>
      </c>
      <c r="B359">
        <v>11.34</v>
      </c>
      <c r="C359">
        <v>9.64</v>
      </c>
      <c r="L359">
        <v>1.7749999999999999</v>
      </c>
    </row>
    <row r="360" spans="1:12" x14ac:dyDescent="0.25">
      <c r="A360">
        <v>1.78</v>
      </c>
      <c r="B360">
        <v>11.38</v>
      </c>
      <c r="C360">
        <v>9.67</v>
      </c>
      <c r="L360">
        <v>1.78</v>
      </c>
    </row>
    <row r="361" spans="1:12" x14ac:dyDescent="0.25">
      <c r="A361">
        <v>1.7849999999999999</v>
      </c>
      <c r="B361">
        <v>11.41</v>
      </c>
      <c r="C361">
        <v>9.6999999999999993</v>
      </c>
      <c r="L361">
        <v>1.7849999999999999</v>
      </c>
    </row>
    <row r="362" spans="1:12" x14ac:dyDescent="0.25">
      <c r="A362">
        <v>1.79</v>
      </c>
      <c r="B362">
        <v>11.44</v>
      </c>
      <c r="C362">
        <v>9.73</v>
      </c>
      <c r="L362">
        <v>1.79</v>
      </c>
    </row>
    <row r="363" spans="1:12" x14ac:dyDescent="0.25">
      <c r="A363">
        <v>1.7949999999999999</v>
      </c>
      <c r="B363">
        <v>11.48</v>
      </c>
      <c r="C363">
        <v>9.76</v>
      </c>
      <c r="L363">
        <v>1.7949999999999999</v>
      </c>
    </row>
    <row r="364" spans="1:12" x14ac:dyDescent="0.25">
      <c r="A364">
        <v>1.8</v>
      </c>
      <c r="B364">
        <v>11.51</v>
      </c>
      <c r="C364">
        <v>9.7799999999999994</v>
      </c>
      <c r="D364" s="12">
        <v>0.29000000000000092</v>
      </c>
      <c r="F364" s="12"/>
      <c r="L364">
        <v>1.8</v>
      </c>
    </row>
    <row r="365" spans="1:12" x14ac:dyDescent="0.25">
      <c r="A365">
        <v>1.8049999999999999</v>
      </c>
      <c r="B365">
        <v>11.54</v>
      </c>
      <c r="C365">
        <v>9.81</v>
      </c>
      <c r="L365">
        <v>1.8049999999999999</v>
      </c>
    </row>
    <row r="366" spans="1:12" x14ac:dyDescent="0.25">
      <c r="A366">
        <v>1.81</v>
      </c>
      <c r="B366">
        <v>11.58</v>
      </c>
      <c r="C366">
        <v>9.84</v>
      </c>
      <c r="L366">
        <v>1.81</v>
      </c>
    </row>
    <row r="367" spans="1:12" x14ac:dyDescent="0.25">
      <c r="A367">
        <v>1.8149999999999999</v>
      </c>
      <c r="B367">
        <v>11.61</v>
      </c>
      <c r="C367">
        <v>9.8699999999999992</v>
      </c>
      <c r="L367">
        <v>1.8149999999999999</v>
      </c>
    </row>
    <row r="368" spans="1:12" x14ac:dyDescent="0.25">
      <c r="A368">
        <v>1.82</v>
      </c>
      <c r="B368">
        <v>11.65</v>
      </c>
      <c r="C368">
        <v>9.9</v>
      </c>
      <c r="L368">
        <v>1.82</v>
      </c>
    </row>
    <row r="369" spans="1:12" x14ac:dyDescent="0.25">
      <c r="A369">
        <v>1.825</v>
      </c>
      <c r="B369">
        <v>11.68</v>
      </c>
      <c r="C369">
        <v>9.93</v>
      </c>
      <c r="L369">
        <v>1.825</v>
      </c>
    </row>
    <row r="370" spans="1:12" x14ac:dyDescent="0.25">
      <c r="A370">
        <v>1.83</v>
      </c>
      <c r="B370">
        <v>11.71</v>
      </c>
      <c r="C370">
        <v>9.9600000000000009</v>
      </c>
      <c r="L370">
        <v>1.83</v>
      </c>
    </row>
    <row r="371" spans="1:12" x14ac:dyDescent="0.25">
      <c r="A371">
        <v>1.835</v>
      </c>
      <c r="B371">
        <v>11.75</v>
      </c>
      <c r="C371">
        <v>9.98</v>
      </c>
      <c r="L371">
        <v>1.835</v>
      </c>
    </row>
    <row r="372" spans="1:12" x14ac:dyDescent="0.25">
      <c r="A372">
        <v>1.84</v>
      </c>
      <c r="B372">
        <v>11.78</v>
      </c>
      <c r="C372">
        <v>10.01</v>
      </c>
      <c r="L372">
        <v>1.84</v>
      </c>
    </row>
    <row r="373" spans="1:12" x14ac:dyDescent="0.25">
      <c r="A373">
        <v>1.845</v>
      </c>
      <c r="B373">
        <v>11.81</v>
      </c>
      <c r="C373">
        <v>10.039999999999999</v>
      </c>
      <c r="L373">
        <v>1.845</v>
      </c>
    </row>
    <row r="374" spans="1:12" x14ac:dyDescent="0.25">
      <c r="A374">
        <v>1.85</v>
      </c>
      <c r="B374">
        <v>11.85</v>
      </c>
      <c r="C374">
        <v>10.07</v>
      </c>
      <c r="L374">
        <v>1.85</v>
      </c>
    </row>
    <row r="375" spans="1:12" x14ac:dyDescent="0.25">
      <c r="A375">
        <v>1.855</v>
      </c>
      <c r="B375">
        <v>11.88</v>
      </c>
      <c r="C375">
        <v>10.1</v>
      </c>
      <c r="L375">
        <v>1.855</v>
      </c>
    </row>
    <row r="376" spans="1:12" x14ac:dyDescent="0.25">
      <c r="A376">
        <v>1.86</v>
      </c>
      <c r="B376">
        <v>11.92</v>
      </c>
      <c r="C376">
        <v>10.130000000000001</v>
      </c>
      <c r="L376">
        <v>1.86</v>
      </c>
    </row>
    <row r="377" spans="1:12" x14ac:dyDescent="0.25">
      <c r="A377">
        <v>1.865</v>
      </c>
      <c r="B377">
        <v>11.95</v>
      </c>
      <c r="C377">
        <v>10.16</v>
      </c>
      <c r="L377">
        <v>1.865</v>
      </c>
    </row>
    <row r="378" spans="1:12" x14ac:dyDescent="0.25">
      <c r="A378">
        <v>1.87</v>
      </c>
      <c r="B378">
        <v>11.98</v>
      </c>
      <c r="C378">
        <v>10.19</v>
      </c>
      <c r="L378">
        <v>1.87</v>
      </c>
    </row>
    <row r="379" spans="1:12" x14ac:dyDescent="0.25">
      <c r="A379">
        <v>1.875</v>
      </c>
      <c r="B379">
        <v>12.02</v>
      </c>
      <c r="C379">
        <v>10.210000000000001</v>
      </c>
      <c r="L379">
        <v>1.875</v>
      </c>
    </row>
    <row r="380" spans="1:12" x14ac:dyDescent="0.25">
      <c r="A380">
        <v>1.88</v>
      </c>
      <c r="B380">
        <v>12.05</v>
      </c>
      <c r="C380">
        <v>10.24</v>
      </c>
      <c r="L380">
        <v>1.88</v>
      </c>
    </row>
    <row r="381" spans="1:12" x14ac:dyDescent="0.25">
      <c r="A381">
        <v>1.885</v>
      </c>
      <c r="B381">
        <v>12.08</v>
      </c>
      <c r="C381">
        <v>10.27</v>
      </c>
      <c r="L381">
        <v>1.885</v>
      </c>
    </row>
    <row r="382" spans="1:12" x14ac:dyDescent="0.25">
      <c r="A382">
        <v>1.89</v>
      </c>
      <c r="B382">
        <v>12.12</v>
      </c>
      <c r="C382">
        <v>10.3</v>
      </c>
      <c r="L382">
        <v>1.89</v>
      </c>
    </row>
    <row r="383" spans="1:12" x14ac:dyDescent="0.25">
      <c r="A383">
        <v>1.895</v>
      </c>
      <c r="B383">
        <v>12.15</v>
      </c>
      <c r="C383">
        <v>10.33</v>
      </c>
      <c r="L383">
        <v>1.895</v>
      </c>
    </row>
    <row r="384" spans="1:12" x14ac:dyDescent="0.25">
      <c r="A384">
        <v>1.9</v>
      </c>
      <c r="B384">
        <v>12.19</v>
      </c>
      <c r="C384">
        <v>10.36</v>
      </c>
      <c r="D384" s="12">
        <v>-0.1899999999999995</v>
      </c>
      <c r="F384" s="12"/>
      <c r="L384">
        <v>1.9</v>
      </c>
    </row>
    <row r="385" spans="1:12" x14ac:dyDescent="0.25">
      <c r="A385">
        <v>1.905</v>
      </c>
      <c r="B385">
        <v>12.22</v>
      </c>
      <c r="C385">
        <v>10.39</v>
      </c>
      <c r="L385">
        <v>1.905</v>
      </c>
    </row>
    <row r="386" spans="1:12" x14ac:dyDescent="0.25">
      <c r="A386">
        <v>1.91</v>
      </c>
      <c r="B386">
        <v>12.25</v>
      </c>
      <c r="C386">
        <v>10.42</v>
      </c>
      <c r="L386">
        <v>1.91</v>
      </c>
    </row>
    <row r="387" spans="1:12" x14ac:dyDescent="0.25">
      <c r="A387">
        <v>1.915</v>
      </c>
      <c r="B387">
        <v>12.29</v>
      </c>
      <c r="C387">
        <v>10.44</v>
      </c>
      <c r="L387">
        <v>1.915</v>
      </c>
    </row>
    <row r="388" spans="1:12" x14ac:dyDescent="0.25">
      <c r="A388">
        <v>1.92</v>
      </c>
      <c r="B388">
        <v>12.32</v>
      </c>
      <c r="C388">
        <v>10.47</v>
      </c>
      <c r="L388">
        <v>1.92</v>
      </c>
    </row>
    <row r="389" spans="1:12" x14ac:dyDescent="0.25">
      <c r="A389">
        <v>1.925</v>
      </c>
      <c r="B389">
        <v>12.35</v>
      </c>
      <c r="C389">
        <v>10.5</v>
      </c>
      <c r="L389">
        <v>1.925</v>
      </c>
    </row>
    <row r="390" spans="1:12" x14ac:dyDescent="0.25">
      <c r="A390">
        <v>1.93</v>
      </c>
      <c r="B390">
        <v>12.39</v>
      </c>
      <c r="C390">
        <v>10.53</v>
      </c>
      <c r="L390">
        <v>1.93</v>
      </c>
    </row>
    <row r="391" spans="1:12" x14ac:dyDescent="0.25">
      <c r="A391">
        <v>1.9350000000000001</v>
      </c>
      <c r="B391">
        <v>12.42</v>
      </c>
      <c r="C391">
        <v>10.56</v>
      </c>
      <c r="L391">
        <v>1.9350000000000001</v>
      </c>
    </row>
    <row r="392" spans="1:12" x14ac:dyDescent="0.25">
      <c r="A392">
        <v>1.94</v>
      </c>
      <c r="B392">
        <v>12.46</v>
      </c>
      <c r="C392">
        <v>10.59</v>
      </c>
      <c r="L392">
        <v>1.94</v>
      </c>
    </row>
    <row r="393" spans="1:12" x14ac:dyDescent="0.25">
      <c r="A393">
        <v>1.9450000000000001</v>
      </c>
      <c r="B393">
        <v>12.49</v>
      </c>
      <c r="C393">
        <v>10.62</v>
      </c>
      <c r="L393">
        <v>1.9450000000000001</v>
      </c>
    </row>
    <row r="394" spans="1:12" x14ac:dyDescent="0.25">
      <c r="A394">
        <v>1.95</v>
      </c>
      <c r="B394">
        <v>12.52</v>
      </c>
      <c r="C394">
        <v>10.64</v>
      </c>
      <c r="L394">
        <v>1.95</v>
      </c>
    </row>
    <row r="395" spans="1:12" x14ac:dyDescent="0.25">
      <c r="A395">
        <v>1.9550000000000001</v>
      </c>
      <c r="B395">
        <v>12.56</v>
      </c>
      <c r="C395">
        <v>10.67</v>
      </c>
      <c r="L395">
        <v>1.9550000000000001</v>
      </c>
    </row>
    <row r="396" spans="1:12" x14ac:dyDescent="0.25">
      <c r="A396">
        <v>1.96</v>
      </c>
      <c r="B396">
        <v>12.59</v>
      </c>
      <c r="C396">
        <v>10.7</v>
      </c>
      <c r="L396">
        <v>1.96</v>
      </c>
    </row>
    <row r="397" spans="1:12" x14ac:dyDescent="0.25">
      <c r="A397">
        <v>1.9650000000000001</v>
      </c>
      <c r="B397">
        <v>12.62</v>
      </c>
      <c r="C397">
        <v>10.73</v>
      </c>
      <c r="L397">
        <v>1.9650000000000001</v>
      </c>
    </row>
    <row r="398" spans="1:12" x14ac:dyDescent="0.25">
      <c r="A398">
        <v>1.97</v>
      </c>
      <c r="B398">
        <v>12.66</v>
      </c>
      <c r="C398">
        <v>10.76</v>
      </c>
      <c r="L398">
        <v>1.97</v>
      </c>
    </row>
    <row r="399" spans="1:12" x14ac:dyDescent="0.25">
      <c r="A399">
        <v>1.9750000000000001</v>
      </c>
      <c r="B399">
        <v>12.69</v>
      </c>
      <c r="C399">
        <v>10.79</v>
      </c>
      <c r="L399">
        <v>1.9750000000000001</v>
      </c>
    </row>
    <row r="400" spans="1:12" x14ac:dyDescent="0.25">
      <c r="A400">
        <v>1.98</v>
      </c>
      <c r="B400">
        <v>12.73</v>
      </c>
      <c r="C400">
        <v>10.82</v>
      </c>
      <c r="L400">
        <v>1.98</v>
      </c>
    </row>
    <row r="401" spans="1:12" x14ac:dyDescent="0.25">
      <c r="A401">
        <v>1.9850000000000001</v>
      </c>
      <c r="B401">
        <v>12.76</v>
      </c>
      <c r="C401">
        <v>10.85</v>
      </c>
      <c r="L401">
        <v>1.9850000000000001</v>
      </c>
    </row>
    <row r="402" spans="1:12" x14ac:dyDescent="0.25">
      <c r="A402">
        <v>1.99</v>
      </c>
      <c r="B402">
        <v>12.79</v>
      </c>
      <c r="C402">
        <v>10.87</v>
      </c>
      <c r="L402">
        <v>1.99</v>
      </c>
    </row>
    <row r="403" spans="1:12" x14ac:dyDescent="0.25">
      <c r="A403">
        <v>1.9950000000000001</v>
      </c>
      <c r="B403">
        <v>12.83</v>
      </c>
      <c r="C403">
        <v>10.9</v>
      </c>
      <c r="L403">
        <v>1.9950000000000001</v>
      </c>
    </row>
    <row r="404" spans="1:12" x14ac:dyDescent="0.25">
      <c r="A404">
        <v>2</v>
      </c>
      <c r="B404">
        <v>12.86</v>
      </c>
      <c r="C404">
        <v>10.93</v>
      </c>
      <c r="D404" s="12">
        <v>-0.35999999999999943</v>
      </c>
      <c r="F404" s="12"/>
      <c r="L404">
        <v>2</v>
      </c>
    </row>
    <row r="405" spans="1:12" x14ac:dyDescent="0.25">
      <c r="A405">
        <v>2.0049999999999999</v>
      </c>
      <c r="B405">
        <v>12.89</v>
      </c>
      <c r="C405">
        <v>10.96</v>
      </c>
      <c r="L405">
        <v>2.0049999999999999</v>
      </c>
    </row>
    <row r="406" spans="1:12" x14ac:dyDescent="0.25">
      <c r="A406">
        <v>2.0099999999999998</v>
      </c>
      <c r="B406">
        <v>12.93</v>
      </c>
      <c r="C406">
        <v>10.99</v>
      </c>
      <c r="L406">
        <v>2.0099999999999998</v>
      </c>
    </row>
    <row r="407" spans="1:12" x14ac:dyDescent="0.25">
      <c r="A407">
        <v>2.0150000000000001</v>
      </c>
      <c r="B407">
        <v>12.96</v>
      </c>
      <c r="C407">
        <v>11.02</v>
      </c>
      <c r="L407">
        <v>2.0150000000000001</v>
      </c>
    </row>
    <row r="408" spans="1:12" x14ac:dyDescent="0.25">
      <c r="A408">
        <v>2.02</v>
      </c>
      <c r="B408">
        <v>13</v>
      </c>
      <c r="C408">
        <v>11.05</v>
      </c>
      <c r="L408">
        <v>2.02</v>
      </c>
    </row>
    <row r="409" spans="1:12" x14ac:dyDescent="0.25">
      <c r="A409">
        <v>2.0249999999999999</v>
      </c>
      <c r="B409">
        <v>13.03</v>
      </c>
      <c r="C409">
        <v>11.07</v>
      </c>
      <c r="L409">
        <v>2.0249999999999999</v>
      </c>
    </row>
    <row r="410" spans="1:12" x14ac:dyDescent="0.25">
      <c r="A410">
        <v>2.0299999999999998</v>
      </c>
      <c r="B410">
        <v>13.06</v>
      </c>
      <c r="C410">
        <v>11.1</v>
      </c>
      <c r="L410">
        <v>2.0299999999999998</v>
      </c>
    </row>
    <row r="411" spans="1:12" x14ac:dyDescent="0.25">
      <c r="A411">
        <v>2.0299999999999998</v>
      </c>
      <c r="B411">
        <v>13.06</v>
      </c>
      <c r="C411">
        <v>11.1</v>
      </c>
      <c r="D411" s="12">
        <v>-6.0000000000000497E-2</v>
      </c>
      <c r="F411" s="12"/>
      <c r="L411">
        <v>2.0299999999999998</v>
      </c>
    </row>
  </sheetData>
  <mergeCells count="3">
    <mergeCell ref="A2:C2"/>
    <mergeCell ref="H2:I2"/>
    <mergeCell ref="L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Tank Calculator</vt:lpstr>
      <vt:lpstr>Sounding Table</vt:lpstr>
      <vt:lpstr>Sounding Table (2)</vt:lpstr>
      <vt:lpstr>Sounding Table_Calibrated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Jothiprakash Gopal</cp:lastModifiedBy>
  <dcterms:created xsi:type="dcterms:W3CDTF">2026-03-31T11:52:30Z</dcterms:created>
  <dcterms:modified xsi:type="dcterms:W3CDTF">2026-08-15T11:52:14Z</dcterms:modified>
</cp:coreProperties>
</file>